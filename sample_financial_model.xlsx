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GS" sheetId="3" state="visible" r:id="rId3"/>
    <sheet name="OpEx" sheetId="4" state="visible" r:id="rId4"/>
    <sheet name="P&amp;L" sheetId="5" state="visible" r:id="rId5"/>
    <sheet name="Balance Sheet" sheetId="6" state="visible" r:id="rId6"/>
    <sheet name="Cash Flow" sheetId="7" state="visible" r:id="rId7"/>
    <sheet name="DCF" sheetId="8" state="visible" r:id="rId8"/>
    <sheet name="Sensitivity" sheetId="9" state="visible" r:id="rId9"/>
    <sheet name="Headcount" sheetId="10" state="visible" r:id="rId10"/>
    <sheet name="KP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x"/>
  </numFmts>
  <fonts count="12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2F5496"/>
      <sz val="11"/>
    </font>
    <font>
      <color rgb="00000000"/>
      <sz val="10"/>
    </font>
    <font>
      <b val="1"/>
      <color rgb="002F5496"/>
      <sz val="12"/>
    </font>
    <font>
      <b val="1"/>
      <color rgb="002F5496"/>
    </font>
    <font>
      <b val="1"/>
      <color rgb="00FF0000"/>
    </font>
    <font>
      <b val="1"/>
      <sz val="12"/>
    </font>
    <font>
      <b val="1"/>
      <color rgb="002F5496"/>
      <sz val="14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right style="thin">
        <color rgb="00B4C6E7"/>
      </right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3" fontId="0" fillId="4" borderId="1" pivotButton="0" quotePrefix="0" xfId="0"/>
    <xf numFmtId="3" fontId="0" fillId="5" borderId="1" pivotButton="0" quotePrefix="0" xfId="0"/>
    <xf numFmtId="0" fontId="4" fillId="0" borderId="0" pivotButton="0" quotePrefix="0" xfId="0"/>
    <xf numFmtId="3" fontId="3" fillId="4" borderId="1" pivotButton="0" quotePrefix="0" xfId="0"/>
    <xf numFmtId="0" fontId="5" fillId="0" borderId="0" pivotButton="0" quotePrefix="0" xfId="0"/>
    <xf numFmtId="164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0" fillId="4" borderId="1" pivotButton="0" quotePrefix="0" xfId="0"/>
    <xf numFmtId="3" fontId="9" fillId="4" borderId="1" pivotButton="0" quotePrefix="0" xfId="0"/>
    <xf numFmtId="0" fontId="10" fillId="0" borderId="0" pivotButton="0" quotePrefix="0" xfId="0"/>
    <xf numFmtId="4" fontId="10" fillId="4" borderId="1" pivotButton="0" quotePrefix="0" xfId="0"/>
    <xf numFmtId="0" fontId="11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ASSUMPTIONS</t>
        </is>
      </c>
    </row>
    <row r="2">
      <c r="A2" t="inlineStr">
        <is>
          <t>Key Model Inputs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Revenue Growth Rate</t>
        </is>
      </c>
      <c r="B4" s="4" t="n">
        <v>0.15</v>
      </c>
      <c r="C4" s="4" t="n">
        <v>0.12</v>
      </c>
      <c r="D4" s="4" t="n">
        <v>0.1</v>
      </c>
      <c r="E4" s="4" t="n">
        <v>0.08</v>
      </c>
      <c r="F4" s="4" t="n">
        <v>0.07000000000000001</v>
      </c>
      <c r="G4" s="4" t="n">
        <v>0.06</v>
      </c>
      <c r="H4" s="4" t="n">
        <v>0.05</v>
      </c>
      <c r="I4" s="4" t="n">
        <v>0.05</v>
      </c>
      <c r="J4" s="4" t="n">
        <v>0.04</v>
      </c>
      <c r="K4" s="4" t="n">
        <v>0.04</v>
      </c>
    </row>
    <row r="5">
      <c r="A5" s="3" t="inlineStr">
        <is>
          <t>COGS % of Revenue</t>
        </is>
      </c>
      <c r="B5" s="4" t="n">
        <v>0.42</v>
      </c>
      <c r="C5" s="4" t="n">
        <v>0.41</v>
      </c>
      <c r="D5" s="4" t="n">
        <v>0.4</v>
      </c>
      <c r="E5" s="4" t="n">
        <v>0.39</v>
      </c>
      <c r="F5" s="4" t="n">
        <v>0.38</v>
      </c>
      <c r="G5" s="4" t="n">
        <v>0.38</v>
      </c>
      <c r="H5" s="4" t="n">
        <v>0.37</v>
      </c>
      <c r="I5" s="4" t="n">
        <v>0.37</v>
      </c>
      <c r="J5" s="4" t="n">
        <v>0.36</v>
      </c>
      <c r="K5" s="4" t="n">
        <v>0.36</v>
      </c>
    </row>
    <row r="6">
      <c r="A6" s="3" t="inlineStr">
        <is>
          <t>SGA % of Revenue</t>
        </is>
      </c>
      <c r="B6" s="4" t="n">
        <v>0.18</v>
      </c>
      <c r="C6" s="4" t="n">
        <v>0.17</v>
      </c>
      <c r="D6" s="4" t="n">
        <v>0.16</v>
      </c>
      <c r="E6" s="4" t="n">
        <v>0.15</v>
      </c>
      <c r="F6" s="4" t="n">
        <v>0.15</v>
      </c>
      <c r="G6" s="4" t="n">
        <v>0.14</v>
      </c>
      <c r="H6" s="4" t="n">
        <v>0.14</v>
      </c>
      <c r="I6" s="4" t="n">
        <v>0.13</v>
      </c>
      <c r="J6" s="4" t="n">
        <v>0.13</v>
      </c>
      <c r="K6" s="4" t="n">
        <v>0.13</v>
      </c>
    </row>
    <row r="7">
      <c r="A7" s="3" t="inlineStr">
        <is>
          <t>R&amp;D % of Revenue</t>
        </is>
      </c>
      <c r="B7" s="4" t="n">
        <v>0.12</v>
      </c>
      <c r="C7" s="4" t="n">
        <v>0.11</v>
      </c>
      <c r="D7" s="4" t="n">
        <v>0.1</v>
      </c>
      <c r="E7" s="4" t="n">
        <v>0.1</v>
      </c>
      <c r="F7" s="4" t="n">
        <v>0.09</v>
      </c>
      <c r="G7" s="4" t="n">
        <v>0.09</v>
      </c>
      <c r="H7" s="4" t="n">
        <v>0.08</v>
      </c>
      <c r="I7" s="4" t="n">
        <v>0.08</v>
      </c>
      <c r="J7" s="4" t="n">
        <v>0.08</v>
      </c>
      <c r="K7" s="4" t="n">
        <v>0.08</v>
      </c>
    </row>
    <row r="8">
      <c r="A8" s="3" t="inlineStr">
        <is>
          <t>D&amp;A % of Revenue</t>
        </is>
      </c>
      <c r="B8" s="4" t="n">
        <v>0.03</v>
      </c>
      <c r="C8" s="4" t="n">
        <v>0.03</v>
      </c>
      <c r="D8" s="4" t="n">
        <v>0.03</v>
      </c>
      <c r="E8" s="4" t="n">
        <v>0.03</v>
      </c>
      <c r="F8" s="4" t="n">
        <v>0.03</v>
      </c>
      <c r="G8" s="4" t="n">
        <v>0.03</v>
      </c>
      <c r="H8" s="4" t="n">
        <v>0.03</v>
      </c>
      <c r="I8" s="4" t="n">
        <v>0.03</v>
      </c>
      <c r="J8" s="4" t="n">
        <v>0.03</v>
      </c>
      <c r="K8" s="4" t="n">
        <v>0.03</v>
      </c>
    </row>
    <row r="9">
      <c r="A9" s="3" t="inlineStr">
        <is>
          <t>Tax Rate</t>
        </is>
      </c>
      <c r="B9" s="4" t="n">
        <v>0.21</v>
      </c>
      <c r="C9" s="4" t="n">
        <v>0.21</v>
      </c>
      <c r="D9" s="4" t="n">
        <v>0.21</v>
      </c>
      <c r="E9" s="4" t="n">
        <v>0.21</v>
      </c>
      <c r="F9" s="4" t="n">
        <v>0.21</v>
      </c>
      <c r="G9" s="4" t="n">
        <v>0.21</v>
      </c>
      <c r="H9" s="4" t="n">
        <v>0.21</v>
      </c>
      <c r="I9" s="4" t="n">
        <v>0.21</v>
      </c>
      <c r="J9" s="4" t="n">
        <v>0.21</v>
      </c>
      <c r="K9" s="4" t="n">
        <v>0.21</v>
      </c>
    </row>
    <row r="10">
      <c r="A10" s="3" t="inlineStr">
        <is>
          <t>CapEx % of Revenue</t>
        </is>
      </c>
      <c r="B10" s="4" t="n">
        <v>0.05</v>
      </c>
      <c r="C10" s="4" t="n">
        <v>0.05</v>
      </c>
      <c r="D10" s="4" t="n">
        <v>0.04</v>
      </c>
      <c r="E10" s="4" t="n">
        <v>0.04</v>
      </c>
      <c r="F10" s="4" t="n">
        <v>0.04</v>
      </c>
      <c r="G10" s="4" t="n">
        <v>0.03</v>
      </c>
      <c r="H10" s="4" t="n">
        <v>0.03</v>
      </c>
      <c r="I10" s="4" t="n">
        <v>0.03</v>
      </c>
      <c r="J10" s="4" t="n">
        <v>0.03</v>
      </c>
      <c r="K10" s="4" t="n">
        <v>0.03</v>
      </c>
    </row>
    <row r="11">
      <c r="A11" s="3" t="inlineStr">
        <is>
          <t>NWC % of Revenue</t>
        </is>
      </c>
      <c r="B11" s="4" t="n">
        <v>0.1</v>
      </c>
      <c r="C11" s="4" t="n">
        <v>0.1</v>
      </c>
      <c r="D11" s="4" t="n">
        <v>0.09</v>
      </c>
      <c r="E11" s="4" t="n">
        <v>0.09</v>
      </c>
      <c r="F11" s="4" t="n">
        <v>0.09</v>
      </c>
      <c r="G11" s="4" t="n">
        <v>0.08</v>
      </c>
      <c r="H11" s="4" t="n">
        <v>0.08</v>
      </c>
      <c r="I11" s="4" t="n">
        <v>0.08</v>
      </c>
      <c r="J11" s="4" t="n">
        <v>0.08</v>
      </c>
      <c r="K11" s="4" t="n">
        <v>0.08</v>
      </c>
    </row>
    <row r="12">
      <c r="A12" s="3" t="inlineStr">
        <is>
          <t>WACC</t>
        </is>
      </c>
      <c r="B12" s="5" t="n">
        <v>0.1</v>
      </c>
      <c r="C12" s="5" t="n">
        <v>0.1</v>
      </c>
      <c r="D12" s="5" t="n">
        <v>0.1</v>
      </c>
      <c r="E12" s="5" t="n">
        <v>0.1</v>
      </c>
      <c r="F12" s="5" t="n">
        <v>0.1</v>
      </c>
      <c r="G12" s="5" t="n">
        <v>0.1</v>
      </c>
      <c r="H12" s="5" t="n">
        <v>0.1</v>
      </c>
      <c r="I12" s="5" t="n">
        <v>0.1</v>
      </c>
      <c r="J12" s="5" t="n">
        <v>0.1</v>
      </c>
      <c r="K12" s="5" t="n">
        <v>0.1</v>
      </c>
    </row>
    <row r="13">
      <c r="A13" s="3" t="inlineStr">
        <is>
          <t>Terminal Growth Rate</t>
        </is>
      </c>
      <c r="B13" s="4" t="n">
        <v>0.025</v>
      </c>
      <c r="C13" s="4" t="n">
        <v>0.025</v>
      </c>
      <c r="D13" s="4" t="n">
        <v>0.025</v>
      </c>
      <c r="E13" s="4" t="n">
        <v>0.025</v>
      </c>
      <c r="F13" s="4" t="n">
        <v>0.025</v>
      </c>
      <c r="G13" s="4" t="n">
        <v>0.025</v>
      </c>
      <c r="H13" s="4" t="n">
        <v>0.025</v>
      </c>
      <c r="I13" s="4" t="n">
        <v>0.025</v>
      </c>
      <c r="J13" s="4" t="n">
        <v>0.025</v>
      </c>
      <c r="K13" s="4" t="n">
        <v>0.025</v>
      </c>
    </row>
    <row r="14">
      <c r="A14" s="3" t="inlineStr">
        <is>
          <t>Shares Outstanding (M)</t>
        </is>
      </c>
      <c r="B14" s="5" t="n">
        <v>100</v>
      </c>
      <c r="C14" s="5" t="n">
        <v>100</v>
      </c>
      <c r="D14" s="5" t="n">
        <v>100</v>
      </c>
      <c r="E14" s="5" t="n">
        <v>100</v>
      </c>
      <c r="F14" s="5" t="n">
        <v>100</v>
      </c>
      <c r="G14" s="5" t="n">
        <v>100</v>
      </c>
      <c r="H14" s="5" t="n">
        <v>100</v>
      </c>
      <c r="I14" s="5" t="n">
        <v>100</v>
      </c>
      <c r="J14" s="5" t="n">
        <v>100</v>
      </c>
      <c r="K14" s="5" t="n">
        <v>100</v>
      </c>
    </row>
    <row r="15">
      <c r="A15" s="3" t="inlineStr">
        <is>
          <t>Interest Rate on Debt</t>
        </is>
      </c>
      <c r="B15" s="4" t="n">
        <v>0.045</v>
      </c>
      <c r="C15" s="4" t="n">
        <v>0.045</v>
      </c>
      <c r="D15" s="4" t="n">
        <v>0.045</v>
      </c>
      <c r="E15" s="4" t="n">
        <v>0.045</v>
      </c>
      <c r="F15" s="4" t="n">
        <v>0.045</v>
      </c>
      <c r="G15" s="4" t="n">
        <v>0.045</v>
      </c>
      <c r="H15" s="4" t="n">
        <v>0.045</v>
      </c>
      <c r="I15" s="4" t="n">
        <v>0.045</v>
      </c>
      <c r="J15" s="4" t="n">
        <v>0.045</v>
      </c>
      <c r="K15" s="4" t="n">
        <v>0.045</v>
      </c>
    </row>
    <row r="16">
      <c r="A16" s="3" t="inlineStr">
        <is>
          <t>Dividend Payout Ratio</t>
        </is>
      </c>
      <c r="B16" s="4" t="n">
        <v>0.3</v>
      </c>
      <c r="C16" s="4" t="n">
        <v>0.3</v>
      </c>
      <c r="D16" s="4" t="n">
        <v>0.3</v>
      </c>
      <c r="E16" s="4" t="n">
        <v>0.3</v>
      </c>
      <c r="F16" s="4" t="n">
        <v>0.3</v>
      </c>
      <c r="G16" s="4" t="n">
        <v>0.3</v>
      </c>
      <c r="H16" s="4" t="n">
        <v>0.3</v>
      </c>
      <c r="I16" s="4" t="n">
        <v>0.3</v>
      </c>
      <c r="J16" s="4" t="n">
        <v>0.3</v>
      </c>
      <c r="K16" s="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REVENUE BUILD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Product A - Enterprise SaaS</t>
        </is>
      </c>
      <c r="B4" s="5" t="n">
        <v>50000000</v>
      </c>
      <c r="C4" s="6">
        <f>B4*(1+Assumptions!C$4)</f>
        <v/>
      </c>
      <c r="D4" s="6">
        <f>C4*(1+Assumptions!D$4)</f>
        <v/>
      </c>
      <c r="E4" s="6">
        <f>D4*(1+Assumptions!E$4)</f>
        <v/>
      </c>
      <c r="F4" s="7" t="n">
        <v>99999999</v>
      </c>
      <c r="G4" s="6">
        <f>F4*(1+Assumptions!G$4)</f>
        <v/>
      </c>
      <c r="H4" s="6">
        <f>G4*(1+Assumptions!H$4)</f>
        <v/>
      </c>
      <c r="I4" s="6">
        <f>H4*(1+Assumptions!I$4)</f>
        <v/>
      </c>
      <c r="J4" s="6">
        <f>I4*(1+Assumptions!J$4)</f>
        <v/>
      </c>
      <c r="K4" s="6">
        <f>J4*(1+Assumptions!K$4)</f>
        <v/>
      </c>
    </row>
    <row r="5">
      <c r="A5" s="3" t="inlineStr">
        <is>
          <t>Product B - SMB Platform</t>
        </is>
      </c>
      <c r="B5" s="5" t="n">
        <v>25000000</v>
      </c>
      <c r="C5" s="6">
        <f>B5*(1+Assumptions!C$4)</f>
        <v/>
      </c>
      <c r="D5" s="6">
        <f>C5*(1+Assumptions!D$4)</f>
        <v/>
      </c>
      <c r="E5" s="6">
        <f>D5*(1+Assumptions!E$4)</f>
        <v/>
      </c>
      <c r="F5" s="6">
        <f>E5*(1+Assumptions!F$4)</f>
        <v/>
      </c>
      <c r="G5" s="6">
        <f>F5*(1+Assumptions!G$4)</f>
        <v/>
      </c>
      <c r="H5" s="6">
        <f>G5*(1+Assumptions!H$4)</f>
        <v/>
      </c>
      <c r="I5" s="6">
        <f>H5*(1+Assumptions!I$4)</f>
        <v/>
      </c>
      <c r="J5" s="6">
        <f>I5*(1+Assumptions!J$4)</f>
        <v/>
      </c>
      <c r="K5" s="6">
        <f>J5*(1+Assumptions!K$4)</f>
        <v/>
      </c>
    </row>
    <row r="6">
      <c r="A6" s="3" t="inlineStr">
        <is>
          <t>Product C - Data Analytics</t>
        </is>
      </c>
      <c r="B6" s="5" t="n">
        <v>15000000</v>
      </c>
      <c r="C6" s="6">
        <f>B6*(1+Assumptions!C$4)</f>
        <v/>
      </c>
      <c r="D6" s="6">
        <f>C6*(1+Assumptions!D$4)</f>
        <v/>
      </c>
      <c r="E6" s="6">
        <f>D6*(1+Assumptions!E$4)</f>
        <v/>
      </c>
      <c r="F6" s="6">
        <f>E6*(1+Assumptions!F$4)</f>
        <v/>
      </c>
      <c r="G6" s="6">
        <f>F6*(1+Assumptions!G$4)</f>
        <v/>
      </c>
      <c r="H6" s="6">
        <f>G6*(1+Assumptions!H$4)</f>
        <v/>
      </c>
      <c r="I6" s="6">
        <f>H6*(1+Assumptions!I$4)</f>
        <v/>
      </c>
      <c r="J6" s="6">
        <f>I6*(1+Assumptions!J$4)</f>
        <v/>
      </c>
      <c r="K6" s="6">
        <f>J6*(1+Assumptions!K$4)</f>
        <v/>
      </c>
    </row>
    <row r="7">
      <c r="A7" s="3" t="inlineStr">
        <is>
          <t>Product D - Cloud Services</t>
        </is>
      </c>
      <c r="B7" s="5" t="n">
        <v>10000000</v>
      </c>
      <c r="C7" s="6">
        <f>B7*(1+Assumptions!C$4)</f>
        <v/>
      </c>
      <c r="D7" s="6">
        <f>C7*(1+Assumptions!D$4)</f>
        <v/>
      </c>
      <c r="E7" s="6">
        <f>D7*(1+Assumptions!E$4)</f>
        <v/>
      </c>
      <c r="F7" s="6">
        <f>E7*(1+Assumptions!F$4)</f>
        <v/>
      </c>
      <c r="G7" s="6">
        <f>F7*(1+Assumptions!G$4)</f>
        <v/>
      </c>
      <c r="H7" s="6">
        <f>G7*(1+Assumptions!H$4)</f>
        <v/>
      </c>
      <c r="I7" s="6">
        <f>H7*(1+Assumptions!I$4)</f>
        <v/>
      </c>
      <c r="J7" s="6">
        <f>I7*(1+Assumptions!J$4)</f>
        <v/>
      </c>
      <c r="K7" s="6">
        <f>J7*(1+Assumptions!K$4)</f>
        <v/>
      </c>
    </row>
    <row r="8">
      <c r="A8" s="3" t="inlineStr">
        <is>
          <t>Professional Services</t>
        </is>
      </c>
      <c r="B8" s="5" t="n">
        <v>8000000</v>
      </c>
      <c r="C8" s="6">
        <f>B8*(1+Assumptions!C$4)</f>
        <v/>
      </c>
      <c r="D8" s="6">
        <f>C8*(1+Assumptions!D$4)</f>
        <v/>
      </c>
      <c r="E8" s="6">
        <f>D8*(1+Assumptions!E$4)</f>
        <v/>
      </c>
      <c r="F8" s="6">
        <f>E8*(1+Assumptions!F$4)</f>
        <v/>
      </c>
      <c r="G8" s="6">
        <f>F8*(1+Assumptions!G$4)</f>
        <v/>
      </c>
      <c r="H8" s="6">
        <f>G8*(1+Assumptions!H$4)</f>
        <v/>
      </c>
      <c r="I8" s="6">
        <f>H8*(1+Assumptions!I$4)</f>
        <v/>
      </c>
      <c r="J8" s="6">
        <f>I8*(1+Assumptions!J$4)</f>
        <v/>
      </c>
      <c r="K8" s="6">
        <f>J8*(1+Assumptions!K$4)</f>
        <v/>
      </c>
    </row>
    <row r="9">
      <c r="A9" s="3" t="inlineStr">
        <is>
          <t>Maintenance &amp; Support</t>
        </is>
      </c>
      <c r="B9" s="5" t="n">
        <v>5000000</v>
      </c>
      <c r="C9" s="6">
        <f>B9*(1+Assumptions!C$4)</f>
        <v/>
      </c>
      <c r="D9" s="6">
        <f>C9*(1+Assumptions!D$4)</f>
        <v/>
      </c>
      <c r="E9" s="6">
        <f>D9*(1+Assumptions!E$4)</f>
        <v/>
      </c>
      <c r="F9" s="6">
        <f>E9*(1+Assumptions!F$4)</f>
        <v/>
      </c>
      <c r="G9" s="6">
        <f>F9*(1+Assumptions!G$4)</f>
        <v/>
      </c>
      <c r="H9" s="6">
        <f>G9*(1+Assumptions!H$4)</f>
        <v/>
      </c>
      <c r="I9" s="6">
        <f>H9*(1+Assumptions!I$4)</f>
        <v/>
      </c>
      <c r="J9" s="6">
        <f>I9*(1+Assumptions!J$4)</f>
        <v/>
      </c>
      <c r="K9" s="6">
        <f>J9*(1+Assumptions!K$4)</f>
        <v/>
      </c>
    </row>
    <row r="10">
      <c r="A10" s="3" t="inlineStr">
        <is>
          <t>Licensing</t>
        </is>
      </c>
      <c r="B10" s="5" t="n">
        <v>3000000</v>
      </c>
      <c r="C10" s="6">
        <f>B10*(1+Assumptions!C$4)</f>
        <v/>
      </c>
      <c r="D10" s="6">
        <f>C10*(1+Assumptions!D$4)</f>
        <v/>
      </c>
      <c r="E10" s="6">
        <f>D10*(1+Assumptions!E$4)</f>
        <v/>
      </c>
      <c r="F10" s="6">
        <f>E10*(1+Assumptions!F$4)</f>
        <v/>
      </c>
      <c r="G10" s="6">
        <f>F10*(1+Assumptions!G$4)</f>
        <v/>
      </c>
      <c r="H10" s="6">
        <f>G10*(1+Assumptions!H$4)</f>
        <v/>
      </c>
      <c r="I10" s="6">
        <f>H10*(1+Assumptions!I$4)</f>
        <v/>
      </c>
      <c r="J10" s="6">
        <f>I10*(1+Assumptions!J$4)</f>
        <v/>
      </c>
      <c r="K10" s="6">
        <f>J10*(1+Assumptions!K$4)</f>
        <v/>
      </c>
    </row>
    <row r="11">
      <c r="A11" s="3" t="inlineStr">
        <is>
          <t>Other Revenue</t>
        </is>
      </c>
      <c r="B11" s="5" t="n">
        <v>2000000</v>
      </c>
      <c r="C11" s="6">
        <f>B11*(1+Assumptions!C$4)</f>
        <v/>
      </c>
      <c r="D11" s="6">
        <f>C11*(1+Assumptions!D$4)</f>
        <v/>
      </c>
      <c r="E11" s="6">
        <f>D11*(1+Assumptions!E$4)</f>
        <v/>
      </c>
      <c r="F11" s="6">
        <f>E11*(1+Assumptions!F$4)</f>
        <v/>
      </c>
      <c r="G11" s="6">
        <f>F11*(1+Assumptions!G$4)</f>
        <v/>
      </c>
      <c r="H11" s="6">
        <f>G11*(1+Assumptions!H$4)</f>
        <v/>
      </c>
      <c r="I11" s="6">
        <f>H11*(1+Assumptions!I$4)</f>
        <v/>
      </c>
      <c r="J11" s="6">
        <f>I11*(1+Assumptions!J$4)</f>
        <v/>
      </c>
      <c r="K11" s="6">
        <f>J11*(1+Assumptions!K$4)</f>
        <v/>
      </c>
    </row>
    <row r="13">
      <c r="A13" s="8" t="inlineStr">
        <is>
          <t>Total Revenue</t>
        </is>
      </c>
      <c r="B13" s="9">
        <f>SUM(B4:B11)</f>
        <v/>
      </c>
      <c r="C13" s="9">
        <f>SUM(C4:C11)</f>
        <v/>
      </c>
      <c r="D13" s="9">
        <f>SUM(D4:D11)</f>
        <v/>
      </c>
      <c r="E13" s="9">
        <f>SUM(E4:E11)</f>
        <v/>
      </c>
      <c r="F13" s="9">
        <f>SUM(F4:F11)</f>
        <v/>
      </c>
      <c r="G13" s="9">
        <f>SUM(G4:G11)</f>
        <v/>
      </c>
      <c r="H13" s="9">
        <f>SUM(H4:H11)</f>
        <v/>
      </c>
      <c r="I13" s="9">
        <f>SUM(I4:I11)</f>
        <v/>
      </c>
      <c r="J13" s="9">
        <f>SUM(J4:J11)</f>
        <v/>
      </c>
      <c r="K13" s="9">
        <f>SUM(K4:K11)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COST OF GOODS SOLD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Cloud Hosting &amp; Infrastructure</t>
        </is>
      </c>
      <c r="B4" s="6">
        <f>Revenue!B$13*Assumptions!B$5*0.2</f>
        <v/>
      </c>
      <c r="C4" s="6">
        <f>Revenue!C$13*Assumptions!C$5*0.2</f>
        <v/>
      </c>
      <c r="D4" s="6">
        <f>Revenue!D$13*Assumptions!D$5*0.2</f>
        <v/>
      </c>
      <c r="E4" s="6">
        <f>Revenue!E$13*Assumptions!E$5*0.2</f>
        <v/>
      </c>
      <c r="F4" s="6">
        <f>Revenue!F$13*Assumptions!F$5*0.2</f>
        <v/>
      </c>
      <c r="G4" s="6">
        <f>Revenue!G$13*Assumptions!G$5*0.2</f>
        <v/>
      </c>
      <c r="H4" s="6">
        <f>Revenue!H$13*Assumptions!H$5*0.2</f>
        <v/>
      </c>
      <c r="I4" s="6">
        <f>Revenue!I$13*Assumptions!I$5*0.2</f>
        <v/>
      </c>
      <c r="J4" s="6">
        <f>Revenue!J$13*Assumptions!J$5*0.2</f>
        <v/>
      </c>
      <c r="K4" s="6">
        <f>Revenue!K$13*Assumptions!K$5*0.2</f>
        <v/>
      </c>
    </row>
    <row r="5">
      <c r="A5" s="3" t="inlineStr">
        <is>
          <t>Software Licenses (3rd party)</t>
        </is>
      </c>
      <c r="B5" s="6">
        <f>Revenue!B$13*Assumptions!B$5*0.2</f>
        <v/>
      </c>
      <c r="C5" s="6">
        <f>Revenue!C$13*Assumptions!C$5*0.2</f>
        <v/>
      </c>
      <c r="D5" s="6">
        <f>Revenue!D$13*Assumptions!D$5*0.2</f>
        <v/>
      </c>
      <c r="E5" s="6">
        <f>Revenue!E$13*Assumptions!E$5*0.2</f>
        <v/>
      </c>
      <c r="F5" s="6">
        <f>Revenue!F$13*Assumptions!F$5*0.2</f>
        <v/>
      </c>
      <c r="G5" s="6">
        <f>Revenue!G$13*Assumptions!G$5*0.2</f>
        <v/>
      </c>
      <c r="H5" s="6">
        <f>Revenue!H$13*Assumptions!H$5*0.2</f>
        <v/>
      </c>
      <c r="I5" s="6">
        <f>Revenue!I$13*Assumptions!I$5*0.2</f>
        <v/>
      </c>
      <c r="J5" s="6">
        <f>Revenue!J$13*Assumptions!J$5*0.2</f>
        <v/>
      </c>
      <c r="K5" s="6">
        <f>Revenue!K$13*Assumptions!K$5*0.2</f>
        <v/>
      </c>
    </row>
    <row r="6">
      <c r="A6" s="3" t="inlineStr">
        <is>
          <t>Customer Support Staff</t>
        </is>
      </c>
      <c r="B6" s="6">
        <f>Revenue!B$13*Assumptions!B$5*0.2</f>
        <v/>
      </c>
      <c r="C6" s="6">
        <f>Revenue!C$13*Assumptions!C$5*0.2</f>
        <v/>
      </c>
      <c r="D6" s="6">
        <f>Revenue!D$13*Assumptions!D$5*0.2</f>
        <v/>
      </c>
      <c r="E6" s="6">
        <f>Revenue!E$13*Assumptions!E$5*0.2</f>
        <v/>
      </c>
      <c r="F6" s="6">
        <f>Revenue!F$13*Assumptions!F$5*0.2</f>
        <v/>
      </c>
      <c r="G6" s="6">
        <f>Revenue!G$13*Assumptions!G$5*0.2</f>
        <v/>
      </c>
      <c r="H6" s="6">
        <f>Revenue!H$13*Assumptions!H$5*0.2</f>
        <v/>
      </c>
      <c r="I6" s="6">
        <f>Revenue!I$13*Assumptions!I$5*0.2</f>
        <v/>
      </c>
      <c r="J6" s="6">
        <f>Revenue!J$13*Assumptions!J$5*0.2</f>
        <v/>
      </c>
      <c r="K6" s="6">
        <f>Revenue!K$13*Assumptions!K$5*0.2</f>
        <v/>
      </c>
    </row>
    <row r="7">
      <c r="A7" s="3" t="inlineStr">
        <is>
          <t>Payment Processing Fees</t>
        </is>
      </c>
      <c r="B7" s="6">
        <f>Revenue!B$13*Assumptions!B$5*0.2</f>
        <v/>
      </c>
      <c r="C7" s="6">
        <f>Revenue!C$13*Assumptions!C$5*0.2</f>
        <v/>
      </c>
      <c r="D7" s="6">
        <f>Revenue!D$13*Assumptions!D$5*0.2</f>
        <v/>
      </c>
      <c r="E7" s="6">
        <f>Revenue!E$13*Assumptions!E$5*0.2</f>
        <v/>
      </c>
      <c r="F7" s="6">
        <f>Revenue!F$13*Assumptions!F$5*0.2</f>
        <v/>
      </c>
      <c r="G7" s="6">
        <f>Revenue!G$13*Assumptions!G$5*0.2</f>
        <v/>
      </c>
      <c r="H7" s="6">
        <f>Revenue!H$13*Assumptions!H$5*0.2</f>
        <v/>
      </c>
      <c r="I7" s="6">
        <f>Revenue!I$13*Assumptions!I$5*0.2</f>
        <v/>
      </c>
      <c r="J7" s="6">
        <f>Revenue!J$13*Assumptions!J$5*0.2</f>
        <v/>
      </c>
      <c r="K7" s="6">
        <f>Revenue!K$13*Assumptions!K$5*0.2</f>
        <v/>
      </c>
    </row>
    <row r="8">
      <c r="A8" s="3" t="inlineStr">
        <is>
          <t>Data Center Operations</t>
        </is>
      </c>
      <c r="B8" s="6">
        <f>Revenue!B$13*Assumptions!B$5*0.2</f>
        <v/>
      </c>
      <c r="C8" s="6">
        <f>Revenue!C$13*Assumptions!C$5*0.2</f>
        <v/>
      </c>
      <c r="D8" s="6">
        <f>Revenue!D$13*Assumptions!D$5*0.2</f>
        <v/>
      </c>
      <c r="E8" s="6">
        <f>Revenue!E$13*Assumptions!E$5*0.2</f>
        <v/>
      </c>
      <c r="F8" s="6">
        <f>Revenue!F$13*Assumptions!F$5*0.2</f>
        <v/>
      </c>
      <c r="G8" s="6">
        <f>Revenue!G$13*Assumptions!G$5*0.2</f>
        <v/>
      </c>
      <c r="H8" s="6">
        <f>Revenue!H$13*Assumptions!H$5*0.2</f>
        <v/>
      </c>
      <c r="I8" s="6">
        <f>Revenue!I$13*Assumptions!I$5*0.2</f>
        <v/>
      </c>
      <c r="J8" s="6">
        <f>Revenue!J$13*Assumptions!J$5*0.2</f>
        <v/>
      </c>
      <c r="K8" s="6">
        <f>Revenue!K$13*Assumptions!K$5*0.2</f>
        <v/>
      </c>
    </row>
    <row r="10">
      <c r="A10" s="8" t="inlineStr">
        <is>
          <t>Total COGS</t>
        </is>
      </c>
      <c r="B10" s="9">
        <f>SUM(B4:B8)</f>
        <v/>
      </c>
      <c r="C10" s="9">
        <f>SUM(C4:C8)</f>
        <v/>
      </c>
      <c r="D10" s="9">
        <f>SUM(D4:D8)</f>
        <v/>
      </c>
      <c r="E10" s="9">
        <f>SUM(E4:E8)</f>
        <v/>
      </c>
      <c r="F10" s="9">
        <f>SUM(F4:F8)</f>
        <v/>
      </c>
      <c r="G10" s="9">
        <f>SUM(G4:G8)</f>
        <v/>
      </c>
      <c r="H10" s="9">
        <f>SUM(H4:H8)</f>
        <v/>
      </c>
      <c r="I10" s="9">
        <f>SUM(I4:I8)</f>
        <v/>
      </c>
      <c r="J10" s="9">
        <f>SUM(J4:J8)</f>
        <v/>
      </c>
      <c r="K10" s="9">
        <f>SUM(K4:K8)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OPERATING EXPENSES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Sales &amp; Marketing</t>
        </is>
      </c>
      <c r="B4" s="6">
        <f>Revenue!B$13*Assumptions!B$6*0.35</f>
        <v/>
      </c>
      <c r="C4" s="6">
        <f>Revenue!C$13*Assumptions!C$6*0.35</f>
        <v/>
      </c>
      <c r="D4" s="6">
        <f>Revenue!D$13*Assumptions!D$6*0.35</f>
        <v/>
      </c>
      <c r="E4" s="6">
        <f>Revenue!E$13*Assumptions!E$6*0.35</f>
        <v/>
      </c>
      <c r="F4" s="6">
        <f>Revenue!F$13*Assumptions!F$6*0.35</f>
        <v/>
      </c>
      <c r="G4" s="6">
        <f>Revenue!G$13*Assumptions!G$6*0.35</f>
        <v/>
      </c>
      <c r="H4" s="6">
        <f>Revenue!H$13*Assumptions!H$6*0.35</f>
        <v/>
      </c>
      <c r="I4" s="6">
        <f>Revenue!I$13*Assumptions!I$6*0.35</f>
        <v/>
      </c>
      <c r="J4" s="6">
        <f>Revenue!J$13*Assumptions!J$6*0.35</f>
        <v/>
      </c>
      <c r="K4" s="6">
        <f>Revenue!K$13*Assumptions!K$6*0.35</f>
        <v/>
      </c>
    </row>
    <row r="5">
      <c r="A5" s="3" t="inlineStr">
        <is>
          <t>Salaries &amp; Wages</t>
        </is>
      </c>
      <c r="B5" s="6">
        <f>Revenue!B$13*Assumptions!B$6*0.25</f>
        <v/>
      </c>
      <c r="C5" s="6">
        <f>Revenue!C$13*Assumptions!C$6*0.25</f>
        <v/>
      </c>
      <c r="D5" s="6">
        <f>Revenue!D$13*Assumptions!D$6*0.25</f>
        <v/>
      </c>
      <c r="E5" s="6">
        <f>Revenue!E$13*Assumptions!E$6*0.25</f>
        <v/>
      </c>
      <c r="F5" s="6">
        <f>Revenue!F$13*Assumptions!F$6*0.25</f>
        <v/>
      </c>
      <c r="G5" s="6">
        <f>Revenue!G$13*Assumptions!G$6*0.25</f>
        <v/>
      </c>
      <c r="H5" s="6">
        <f>Revenue!H$13*Assumptions!H$6*0.25</f>
        <v/>
      </c>
      <c r="I5" s="6">
        <f>Revenue!I$13*Assumptions!I$6*0.25</f>
        <v/>
      </c>
      <c r="J5" s="6">
        <f>Revenue!J$13*Assumptions!J$6*0.25</f>
        <v/>
      </c>
      <c r="K5" s="6">
        <f>Revenue!K$13*Assumptions!K$6*0.25</f>
        <v/>
      </c>
    </row>
    <row r="6">
      <c r="A6" s="3" t="inlineStr">
        <is>
          <t>Research &amp; Development</t>
        </is>
      </c>
      <c r="B6" s="6">
        <f>Revenue!B$13*Assumptions!B$7*0.6</f>
        <v/>
      </c>
      <c r="C6" s="6">
        <f>Revenue!C$13*Assumptions!C$7*0.6</f>
        <v/>
      </c>
      <c r="D6" s="6">
        <f>Revenue!D$13*Assumptions!D$7*0.6</f>
        <v/>
      </c>
      <c r="E6" s="6">
        <f>Revenue!E$13*Assumptions!E$7*0.6</f>
        <v/>
      </c>
      <c r="F6" s="6">
        <f>Revenue!F$13*Assumptions!F$7*0.6</f>
        <v/>
      </c>
      <c r="G6" s="6">
        <f>Revenue!G$13*Assumptions!G$7*0.6</f>
        <v/>
      </c>
      <c r="H6" s="6">
        <f>Revenue!H$13*Assumptions!H$7*0.6</f>
        <v/>
      </c>
      <c r="I6" s="6">
        <f>Revenue!I$13*Assumptions!I$7*0.6</f>
        <v/>
      </c>
      <c r="J6" s="6">
        <f>Revenue!J$13*Assumptions!J$7*0.6</f>
        <v/>
      </c>
      <c r="K6" s="6">
        <f>Revenue!K$13*Assumptions!K$7*0.6</f>
        <v/>
      </c>
    </row>
    <row r="7">
      <c r="A7" s="3" t="inlineStr">
        <is>
          <t>General &amp; Administrative</t>
        </is>
      </c>
      <c r="B7" s="6">
        <f>Revenue!B$13*Assumptions!B$6*0.1</f>
        <v/>
      </c>
      <c r="C7" s="6">
        <f>Revenue!C$13*Assumptions!C$6*0.1</f>
        <v/>
      </c>
      <c r="D7" s="6">
        <f>Revenue!D$13*Assumptions!D$6*0.1</f>
        <v/>
      </c>
      <c r="E7" s="6">
        <f>Revenue!E$13*Assumptions!E$6*0.1</f>
        <v/>
      </c>
      <c r="F7" s="6">
        <f>Revenue!F$13*Assumptions!F$6*0.1</f>
        <v/>
      </c>
      <c r="G7" s="6">
        <f>Revenue!G$13*Assumptions!G$6*0.1</f>
        <v/>
      </c>
      <c r="H7" s="6">
        <f>Revenue!H$13*Assumptions!H$6*0.1</f>
        <v/>
      </c>
      <c r="I7" s="6">
        <f>Revenue!I$13*Assumptions!I$6*0.1</f>
        <v/>
      </c>
      <c r="J7" s="6">
        <f>Revenue!J$13*Assumptions!J$6*0.1</f>
        <v/>
      </c>
      <c r="K7" s="6">
        <f>Revenue!K$13*Assumptions!K$6*0.1</f>
        <v/>
      </c>
    </row>
    <row r="8">
      <c r="A8" s="3" t="inlineStr">
        <is>
          <t>Depreciation &amp; Amortization</t>
        </is>
      </c>
      <c r="B8" s="6">
        <f>Revenue!B$13*Assumptions!B$8*1.0</f>
        <v/>
      </c>
      <c r="C8" s="6">
        <f>Revenue!C$13*Assumptions!C$8*1.0</f>
        <v/>
      </c>
      <c r="D8" s="6">
        <f>Revenue!D$13*Assumptions!D$8*1.0</f>
        <v/>
      </c>
      <c r="E8" s="6">
        <f>Revenue!E$13*Assumptions!E$8*1.0</f>
        <v/>
      </c>
      <c r="F8" s="6">
        <f>Revenue!F$13*Assumptions!F$8*1.0</f>
        <v/>
      </c>
      <c r="G8" s="6">
        <f>Revenue!G$13*Assumptions!G$8*1.0</f>
        <v/>
      </c>
      <c r="H8" s="6">
        <f>Revenue!H$13*Assumptions!H$8*1.0</f>
        <v/>
      </c>
      <c r="I8" s="6">
        <f>Revenue!I$13*Assumptions!I$8*1.0</f>
        <v/>
      </c>
      <c r="J8" s="6">
        <f>Revenue!J$13*Assumptions!J$8*1.0</f>
        <v/>
      </c>
      <c r="K8" s="6">
        <f>Revenue!K$13*Assumptions!K$8*1.0</f>
        <v/>
      </c>
    </row>
    <row r="9">
      <c r="A9" s="3" t="inlineStr">
        <is>
          <t>Rent &amp; Facilities</t>
        </is>
      </c>
      <c r="B9" s="6">
        <f>Revenue!B$13*Assumptions!B$6*0.08</f>
        <v/>
      </c>
      <c r="C9" s="6">
        <f>Revenue!C$13*Assumptions!C$6*0.08</f>
        <v/>
      </c>
      <c r="D9" s="6">
        <f>Revenue!D$13*Assumptions!D$6*0.08</f>
        <v/>
      </c>
      <c r="E9" s="6">
        <f>Revenue!E$13*Assumptions!E$6*0.08</f>
        <v/>
      </c>
      <c r="F9" s="6">
        <f>Revenue!F$13*Assumptions!F$6*0.08</f>
        <v/>
      </c>
      <c r="G9" s="6">
        <f>Revenue!G$13*Assumptions!G$6*0.08</f>
        <v/>
      </c>
      <c r="H9" s="6">
        <f>Revenue!H$13*Assumptions!H$6*0.08</f>
        <v/>
      </c>
      <c r="I9" s="6">
        <f>Revenue!I$13*Assumptions!I$6*0.08</f>
        <v/>
      </c>
      <c r="J9" s="6">
        <f>Revenue!J$13*Assumptions!J$6*0.08</f>
        <v/>
      </c>
      <c r="K9" s="6">
        <f>Revenue!K$13*Assumptions!K$6*0.08</f>
        <v/>
      </c>
    </row>
    <row r="10">
      <c r="A10" s="3" t="inlineStr">
        <is>
          <t>Travel &amp; Entertainment</t>
        </is>
      </c>
      <c r="B10" s="6">
        <f>Revenue!B$13*Assumptions!B$6*0.05</f>
        <v/>
      </c>
      <c r="C10" s="6">
        <f>Revenue!C$13*Assumptions!C$6*0.05</f>
        <v/>
      </c>
      <c r="D10" s="6">
        <f>Revenue!D$13*Assumptions!D$6*0.05</f>
        <v/>
      </c>
      <c r="E10" s="6">
        <f>Revenue!E$13*Assumptions!E$6*0.05</f>
        <v/>
      </c>
      <c r="F10" s="6">
        <f>Revenue!F$13*Assumptions!F$6*0.05</f>
        <v/>
      </c>
      <c r="G10" s="6">
        <f>Revenue!G$13*Assumptions!G$6*0.05</f>
        <v/>
      </c>
      <c r="H10" s="6">
        <f>Revenue!H$13*Assumptions!H$6*0.05</f>
        <v/>
      </c>
      <c r="I10" s="6">
        <f>Revenue!I$13*Assumptions!I$6*0.05</f>
        <v/>
      </c>
      <c r="J10" s="6">
        <f>Revenue!J$13*Assumptions!J$6*0.05</f>
        <v/>
      </c>
      <c r="K10" s="6">
        <f>Revenue!K$13*Assumptions!K$6*0.05</f>
        <v/>
      </c>
    </row>
    <row r="11">
      <c r="A11" s="3" t="inlineStr">
        <is>
          <t>Professional Fees (Legal, Audit)</t>
        </is>
      </c>
      <c r="B11" s="6">
        <f>Revenue!B$13*Assumptions!B$6*0.07</f>
        <v/>
      </c>
      <c r="C11" s="6">
        <f>Revenue!C$13*Assumptions!C$6*0.07</f>
        <v/>
      </c>
      <c r="D11" s="6">
        <f>Revenue!D$13*Assumptions!D$6*0.07</f>
        <v/>
      </c>
      <c r="E11" s="6">
        <f>Revenue!E$13*Assumptions!E$6*0.07</f>
        <v/>
      </c>
      <c r="F11" s="6">
        <f>Revenue!F$13*Assumptions!F$6*0.07</f>
        <v/>
      </c>
      <c r="G11" s="6">
        <f>Revenue!G$13*Assumptions!G$6*0.07</f>
        <v/>
      </c>
      <c r="H11" s="6">
        <f>Revenue!H$13*Assumptions!H$6*0.07</f>
        <v/>
      </c>
      <c r="I11" s="6">
        <f>Revenue!I$13*Assumptions!I$6*0.07</f>
        <v/>
      </c>
      <c r="J11" s="6">
        <f>Revenue!J$13*Assumptions!J$6*0.07</f>
        <v/>
      </c>
      <c r="K11" s="6">
        <f>Revenue!K$13*Assumptions!K$6*0.07</f>
        <v/>
      </c>
    </row>
    <row r="12">
      <c r="A12" s="3" t="inlineStr">
        <is>
          <t>Insurance</t>
        </is>
      </c>
      <c r="B12" s="6">
        <f>Revenue!B$13*Assumptions!B$6*0.05</f>
        <v/>
      </c>
      <c r="C12" s="6">
        <f>Revenue!C$13*Assumptions!C$6*0.05</f>
        <v/>
      </c>
      <c r="D12" s="6">
        <f>Revenue!D$13*Assumptions!D$6*0.05</f>
        <v/>
      </c>
      <c r="E12" s="6">
        <f>Revenue!E$13*Assumptions!E$6*0.05</f>
        <v/>
      </c>
      <c r="F12" s="6">
        <f>Revenue!F$13*Assumptions!F$6*0.05</f>
        <v/>
      </c>
      <c r="G12" s="6">
        <f>Revenue!G$13*Assumptions!G$6*0.05</f>
        <v/>
      </c>
      <c r="H12" s="6">
        <f>Revenue!H$13*Assumptions!H$6*0.05</f>
        <v/>
      </c>
      <c r="I12" s="6">
        <f>Revenue!I$13*Assumptions!I$6*0.05</f>
        <v/>
      </c>
      <c r="J12" s="6">
        <f>Revenue!J$13*Assumptions!J$6*0.05</f>
        <v/>
      </c>
      <c r="K12" s="6">
        <f>Revenue!K$13*Assumptions!K$6*0.05</f>
        <v/>
      </c>
    </row>
    <row r="13">
      <c r="A13" s="3" t="inlineStr">
        <is>
          <t>IT &amp; Software</t>
        </is>
      </c>
      <c r="B13" s="6">
        <f>Revenue!B$13*Assumptions!B$7*0.4</f>
        <v/>
      </c>
      <c r="C13" s="6">
        <f>Revenue!C$13*Assumptions!C$7*0.4</f>
        <v/>
      </c>
      <c r="D13" s="6">
        <f>Revenue!D$13*Assumptions!D$7*0.4</f>
        <v/>
      </c>
      <c r="E13" s="6">
        <f>Revenue!E$13*Assumptions!E$7*0.4</f>
        <v/>
      </c>
      <c r="F13" s="6">
        <f>Revenue!F$13*Assumptions!F$7*0.4</f>
        <v/>
      </c>
      <c r="G13" s="6">
        <f>Revenue!G$13*Assumptions!G$7*0.4</f>
        <v/>
      </c>
      <c r="H13" s="6">
        <f>Revenue!H$13*Assumptions!H$7*0.4</f>
        <v/>
      </c>
      <c r="I13" s="6">
        <f>Revenue!I$13*Assumptions!I$7*0.4</f>
        <v/>
      </c>
      <c r="J13" s="6">
        <f>Revenue!J$13*Assumptions!J$7*0.4</f>
        <v/>
      </c>
      <c r="K13" s="6">
        <f>Revenue!K$13*Assumptions!K$7*0.4</f>
        <v/>
      </c>
    </row>
    <row r="15">
      <c r="A15" s="8" t="inlineStr">
        <is>
          <t>Total OpEx</t>
        </is>
      </c>
      <c r="B15" s="9">
        <f>SUM(B4:B13)</f>
        <v/>
      </c>
      <c r="C15" s="9">
        <f>SUM(C4:C13)</f>
        <v/>
      </c>
      <c r="D15" s="9">
        <f>SUM(D4:D13)</f>
        <v/>
      </c>
      <c r="E15" s="9">
        <f>SUM(E4:E13)</f>
        <v/>
      </c>
      <c r="F15" s="9">
        <f>SUM(F4:F13)</f>
        <v/>
      </c>
      <c r="G15" s="9">
        <f>SUM(G4:G13)</f>
        <v/>
      </c>
      <c r="H15" s="9">
        <f>SUM(H4:H13)</f>
        <v/>
      </c>
      <c r="I15" s="9">
        <f>SUM(I4:I13)</f>
        <v/>
      </c>
      <c r="J15" s="9">
        <f>SUM(J4:J13)</f>
        <v/>
      </c>
      <c r="K15" s="9">
        <f>SUM(K4:K13)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PROFIT &amp; LOSS STATEMENT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8" t="inlineStr">
        <is>
          <t>Revenue</t>
        </is>
      </c>
      <c r="B4" s="9">
        <f>Revenue!B$13</f>
        <v/>
      </c>
      <c r="C4" s="9">
        <f>Revenue!C$13</f>
        <v/>
      </c>
      <c r="D4" s="9">
        <f>Revenue!D$13</f>
        <v/>
      </c>
      <c r="E4" s="9">
        <f>Revenue!E$13</f>
        <v/>
      </c>
      <c r="F4" s="9">
        <f>Revenue!F$13</f>
        <v/>
      </c>
      <c r="G4" s="9">
        <f>Revenue!G$13</f>
        <v/>
      </c>
      <c r="H4" s="9">
        <f>Revenue!H$13</f>
        <v/>
      </c>
      <c r="I4" s="9">
        <f>Revenue!I$13</f>
        <v/>
      </c>
      <c r="J4" s="9">
        <f>Revenue!J$13</f>
        <v/>
      </c>
      <c r="K4" s="9">
        <f>Revenue!K$13</f>
        <v/>
      </c>
    </row>
    <row r="5">
      <c r="A5" s="10" t="inlineStr">
        <is>
          <t>Cost of Goods Sold</t>
        </is>
      </c>
      <c r="B5" s="6">
        <f>-COGS!B$10</f>
        <v/>
      </c>
      <c r="C5" s="6">
        <f>-COGS!C$10</f>
        <v/>
      </c>
      <c r="D5" s="6">
        <f>-COGS!D$10</f>
        <v/>
      </c>
      <c r="E5" s="6">
        <f>-COGS!E$10</f>
        <v/>
      </c>
      <c r="F5" s="6">
        <f>-COGS!F$10</f>
        <v/>
      </c>
      <c r="G5" s="6">
        <f>-COGS!G$10</f>
        <v/>
      </c>
      <c r="H5" s="6">
        <f>-COGS!H$10</f>
        <v/>
      </c>
      <c r="I5" s="6">
        <f>-COGS!I$10</f>
        <v/>
      </c>
      <c r="J5" s="6">
        <f>-COGS!J$10</f>
        <v/>
      </c>
      <c r="K5" s="6">
        <f>-COGS!K$10</f>
        <v/>
      </c>
    </row>
    <row r="6">
      <c r="A6" s="8" t="inlineStr">
        <is>
          <t>Gross Profit</t>
        </is>
      </c>
      <c r="B6" s="9">
        <f>B4+B5</f>
        <v/>
      </c>
      <c r="C6" s="9">
        <f>C4+C5</f>
        <v/>
      </c>
      <c r="D6" s="9">
        <f>D4+D5</f>
        <v/>
      </c>
      <c r="E6" s="9">
        <f>E4+E5</f>
        <v/>
      </c>
      <c r="F6" s="9">
        <f>F4+F5</f>
        <v/>
      </c>
      <c r="G6" s="9">
        <f>G4+G5</f>
        <v/>
      </c>
      <c r="H6" s="9">
        <f>H4+H5</f>
        <v/>
      </c>
      <c r="I6" s="9">
        <f>I4+I5</f>
        <v/>
      </c>
      <c r="J6" s="9">
        <f>J4+J5</f>
        <v/>
      </c>
      <c r="K6" s="9">
        <f>K4+K5</f>
        <v/>
      </c>
    </row>
    <row r="7">
      <c r="A7" s="10" t="inlineStr">
        <is>
          <t>Gross Margin</t>
        </is>
      </c>
      <c r="B7" s="11">
        <f>B6/B4</f>
        <v/>
      </c>
      <c r="C7" s="11">
        <f>C6/C4</f>
        <v/>
      </c>
      <c r="D7" s="11">
        <f>D6/D4</f>
        <v/>
      </c>
      <c r="E7" s="11">
        <f>E6/E4</f>
        <v/>
      </c>
      <c r="F7" s="11">
        <f>F6/F4</f>
        <v/>
      </c>
      <c r="G7" s="11">
        <f>G6/G4</f>
        <v/>
      </c>
      <c r="H7" s="11">
        <f>H6/H4</f>
        <v/>
      </c>
      <c r="I7" s="11">
        <f>I6/I4</f>
        <v/>
      </c>
      <c r="J7" s="11">
        <f>J6/J4</f>
        <v/>
      </c>
      <c r="K7" s="11">
        <f>K6/K4</f>
        <v/>
      </c>
    </row>
    <row r="9">
      <c r="A9" s="10" t="inlineStr">
        <is>
          <t>Operating Expenses</t>
        </is>
      </c>
      <c r="B9" s="6">
        <f>-OpEx!B$15</f>
        <v/>
      </c>
      <c r="C9" s="6">
        <f>-OpEx!C$15</f>
        <v/>
      </c>
      <c r="D9" s="6">
        <f>-OpEx!D$15</f>
        <v/>
      </c>
      <c r="E9" s="6">
        <f>-OpEx!E$15</f>
        <v/>
      </c>
      <c r="F9" s="6">
        <f>-OpEx!F$15</f>
        <v/>
      </c>
      <c r="G9" s="6">
        <f>-OpEx!G$15</f>
        <v/>
      </c>
      <c r="H9" s="6">
        <f>-OpEx!H$15</f>
        <v/>
      </c>
      <c r="I9" s="6">
        <f>-OpEx!I$15</f>
        <v/>
      </c>
      <c r="J9" s="6">
        <f>-OpEx!J$15</f>
        <v/>
      </c>
      <c r="K9" s="6">
        <f>-OpEx!K$15</f>
        <v/>
      </c>
    </row>
    <row r="10">
      <c r="A10" s="8" t="inlineStr">
        <is>
          <t>EBIT</t>
        </is>
      </c>
      <c r="B10" s="9">
        <f>B6+B9</f>
        <v/>
      </c>
      <c r="C10" s="9">
        <f>C6+C9</f>
        <v/>
      </c>
      <c r="D10" s="9">
        <f>D6+D9</f>
        <v/>
      </c>
      <c r="E10" s="9">
        <f>E6+E9</f>
        <v/>
      </c>
      <c r="F10" s="9">
        <f>F6+F9</f>
        <v/>
      </c>
      <c r="G10" s="9">
        <f>G6+G9</f>
        <v/>
      </c>
      <c r="H10" s="9">
        <f>H6+H9</f>
        <v/>
      </c>
      <c r="I10" s="9">
        <f>I6+I9</f>
        <v/>
      </c>
      <c r="J10" s="9">
        <f>J6+J9</f>
        <v/>
      </c>
      <c r="K10" s="9">
        <f>K6+K9</f>
        <v/>
      </c>
    </row>
    <row r="11">
      <c r="A11" s="10" t="inlineStr">
        <is>
          <t>EBIT Margin</t>
        </is>
      </c>
      <c r="B11" s="11">
        <f>B10/B4</f>
        <v/>
      </c>
      <c r="C11" s="11">
        <f>C10/C4</f>
        <v/>
      </c>
      <c r="D11" s="11">
        <f>D10/D4</f>
        <v/>
      </c>
      <c r="E11" s="11">
        <f>E10/E4</f>
        <v/>
      </c>
      <c r="F11" s="11">
        <f>F10/F4</f>
        <v/>
      </c>
      <c r="G11" s="11">
        <f>G10/G4</f>
        <v/>
      </c>
      <c r="H11" s="11">
        <f>H10/H4</f>
        <v/>
      </c>
      <c r="I11" s="11">
        <f>I10/I4</f>
        <v/>
      </c>
      <c r="J11" s="11">
        <f>J10/J4</f>
        <v/>
      </c>
      <c r="K11" s="11">
        <f>K10/K4</f>
        <v/>
      </c>
    </row>
    <row r="13">
      <c r="A13" s="10" t="inlineStr">
        <is>
          <t>Interest Expense</t>
        </is>
      </c>
      <c r="B13" s="6">
        <f>-'Balance Sheet'!B$16*Assumptions!B$15</f>
        <v/>
      </c>
      <c r="C13" s="6">
        <f>-'Balance Sheet'!C$16*Assumptions!C$15</f>
        <v/>
      </c>
      <c r="D13" s="6">
        <f>-'Balance Sheet'!D$16*Assumptions!D$15</f>
        <v/>
      </c>
      <c r="E13" s="6">
        <f>-'Balance Sheet'!E$16*Assumptions!E$15</f>
        <v/>
      </c>
      <c r="F13" s="6">
        <f>-'Balance Sheet'!F$16*Assumptions!F$15</f>
        <v/>
      </c>
      <c r="G13" s="6">
        <f>-'Balance Sheet'!G$16*Assumptions!G$15</f>
        <v/>
      </c>
      <c r="H13" s="6">
        <f>-'Balance Sheet'!H$16*Assumptions!H$15</f>
        <v/>
      </c>
      <c r="I13" s="6">
        <f>-'Balance Sheet'!I$16*Assumptions!I$15</f>
        <v/>
      </c>
      <c r="J13" s="6">
        <f>-'Balance Sheet'!J$16*Assumptions!J$15</f>
        <v/>
      </c>
      <c r="K13" s="6">
        <f>-'Balance Sheet'!K$16*Assumptions!K$15</f>
        <v/>
      </c>
    </row>
    <row r="14">
      <c r="A14" s="8" t="inlineStr">
        <is>
          <t>EBT</t>
        </is>
      </c>
      <c r="B14" s="9">
        <f>B10+B13</f>
        <v/>
      </c>
      <c r="C14" s="9">
        <f>C10+C13</f>
        <v/>
      </c>
      <c r="D14" s="9">
        <f>D10+D13</f>
        <v/>
      </c>
      <c r="E14" s="9">
        <f>E10+E13</f>
        <v/>
      </c>
      <c r="F14" s="9">
        <f>F10+F13</f>
        <v/>
      </c>
      <c r="G14" s="9">
        <f>G10+G13</f>
        <v/>
      </c>
      <c r="H14" s="9">
        <f>H10+H13</f>
        <v/>
      </c>
      <c r="I14" s="9">
        <f>I10+I13</f>
        <v/>
      </c>
      <c r="J14" s="9">
        <f>J10+J13</f>
        <v/>
      </c>
      <c r="K14" s="9">
        <f>K10+K13</f>
        <v/>
      </c>
    </row>
    <row r="15">
      <c r="A15" s="10" t="inlineStr">
        <is>
          <t>Income Tax</t>
        </is>
      </c>
      <c r="B15" s="6">
        <f>-MAX(0,B14*Assumptions!B$9)</f>
        <v/>
      </c>
      <c r="C15" s="6">
        <f>-MAX(0,C14*Assumptions!C$9)</f>
        <v/>
      </c>
      <c r="D15" s="6">
        <f>-MAX(0,D14*Assumptions!D$9)</f>
        <v/>
      </c>
      <c r="E15" s="6">
        <f>-MAX(0,E14*Assumptions!E$9)</f>
        <v/>
      </c>
      <c r="F15" s="6">
        <f>-MAX(0,F14*Assumptions!F$9)</f>
        <v/>
      </c>
      <c r="G15" s="6">
        <f>-MAX(0,G14*Assumptions!G$9)</f>
        <v/>
      </c>
      <c r="H15" s="6">
        <f>-MAX(0,H14*Assumptions!H$9)</f>
        <v/>
      </c>
      <c r="I15" s="6">
        <f>-MAX(0,I14*Assumptions!I$9)</f>
        <v/>
      </c>
      <c r="J15" s="6">
        <f>-MAX(0,J14*Assumptions!J$9)</f>
        <v/>
      </c>
      <c r="K15" s="6">
        <f>-MAX(0,K14*Assumptions!K$9)</f>
        <v/>
      </c>
    </row>
    <row r="16">
      <c r="A16" s="8" t="inlineStr">
        <is>
          <t>Net Income</t>
        </is>
      </c>
      <c r="B16" s="9">
        <f>B14+B15</f>
        <v/>
      </c>
      <c r="C16" s="9">
        <f>C14+C15</f>
        <v/>
      </c>
      <c r="D16" s="9">
        <f>D14+D15</f>
        <v/>
      </c>
      <c r="E16" s="9">
        <f>E14+E15</f>
        <v/>
      </c>
      <c r="F16" s="9">
        <f>F14+F15</f>
        <v/>
      </c>
      <c r="G16" s="9">
        <f>G14+G15</f>
        <v/>
      </c>
      <c r="H16" s="9">
        <f>H14+H15</f>
        <v/>
      </c>
      <c r="I16" s="9">
        <f>I14+I15</f>
        <v/>
      </c>
      <c r="J16" s="9">
        <f>J14+J15</f>
        <v/>
      </c>
      <c r="K16" s="9">
        <f>K14+K15</f>
        <v/>
      </c>
    </row>
    <row r="17">
      <c r="A17" s="10" t="inlineStr">
        <is>
          <t>Net Margin</t>
        </is>
      </c>
      <c r="B17" s="11">
        <f>B16/B4</f>
        <v/>
      </c>
      <c r="C17" s="11">
        <f>C16/C4</f>
        <v/>
      </c>
      <c r="D17" s="11">
        <f>D16/D4</f>
        <v/>
      </c>
      <c r="E17" s="11">
        <f>E16/E4</f>
        <v/>
      </c>
      <c r="F17" s="11">
        <f>F16/F4</f>
        <v/>
      </c>
      <c r="G17" s="11">
        <f>G16/G4</f>
        <v/>
      </c>
      <c r="H17" s="11">
        <f>H16/H4</f>
        <v/>
      </c>
      <c r="I17" s="11">
        <f>I16/I4</f>
        <v/>
      </c>
      <c r="J17" s="11">
        <f>J16/J4</f>
        <v/>
      </c>
      <c r="K17" s="11">
        <f>K16/K4</f>
        <v/>
      </c>
    </row>
    <row r="19">
      <c r="A19" s="10" t="inlineStr">
        <is>
          <t>EPS</t>
        </is>
      </c>
      <c r="B19" s="12">
        <f>B16/Assumptions!B$14/1000000</f>
        <v/>
      </c>
      <c r="C19" s="12">
        <f>C16/Assumptions!C$14/1000000</f>
        <v/>
      </c>
      <c r="D19" s="12">
        <f>D16/Assumptions!D$14/1000000</f>
        <v/>
      </c>
      <c r="E19" s="12">
        <f>E16/Assumptions!E$14/1000000</f>
        <v/>
      </c>
      <c r="F19" s="12">
        <f>F16/Assumptions!F$14/1000000</f>
        <v/>
      </c>
      <c r="G19" s="12">
        <f>G16/Assumptions!G$14/1000000</f>
        <v/>
      </c>
      <c r="H19" s="12">
        <f>H16/Assumptions!H$14/1000000</f>
        <v/>
      </c>
      <c r="I19" s="12">
        <f>I16/Assumptions!I$14/1000000</f>
        <v/>
      </c>
      <c r="J19" s="12">
        <f>J16/Assumptions!J$14/1000000</f>
        <v/>
      </c>
      <c r="K19" s="12">
        <f>K16/Assumptions!K$14/1000000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BALANCE SHEET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13" t="inlineStr">
        <is>
          <t>ASSETS</t>
        </is>
      </c>
    </row>
    <row r="5">
      <c r="A5" s="3" t="inlineStr">
        <is>
          <t>Cash &amp; Equivalents</t>
        </is>
      </c>
      <c r="B5" s="5" t="n">
        <v>50000000</v>
      </c>
      <c r="C5" s="6">
        <f>'Cash Flow'!C$19</f>
        <v/>
      </c>
      <c r="D5" s="6">
        <f>'Cash Flow'!D$19</f>
        <v/>
      </c>
      <c r="E5" s="6">
        <f>'Cash Flow'!E$19</f>
        <v/>
      </c>
      <c r="F5" s="6">
        <f>'Cash Flow'!F$19</f>
        <v/>
      </c>
      <c r="G5" s="6">
        <f>'Cash Flow'!G$19</f>
        <v/>
      </c>
      <c r="H5" s="6">
        <f>'Cash Flow'!H$19</f>
        <v/>
      </c>
      <c r="I5" s="6">
        <f>'Cash Flow'!I$19</f>
        <v/>
      </c>
      <c r="J5" s="6">
        <f>'Cash Flow'!J$19</f>
        <v/>
      </c>
      <c r="K5" s="6">
        <f>'Cash Flow'!K$19</f>
        <v/>
      </c>
    </row>
    <row r="6">
      <c r="A6" s="3" t="inlineStr">
        <is>
          <t>Accounts Receivable</t>
        </is>
      </c>
      <c r="B6" s="6">
        <f>Revenue!B$13*Assumptions!B$11*0.4</f>
        <v/>
      </c>
      <c r="C6" s="6">
        <f>Revenue!C$13*Assumptions!C$11*0.4</f>
        <v/>
      </c>
      <c r="D6" s="6">
        <f>Revenue!D$13*Assumptions!D$11*0.4</f>
        <v/>
      </c>
      <c r="E6" s="6">
        <f>Revenue!E$13*Assumptions!E$11*0.4</f>
        <v/>
      </c>
      <c r="F6" s="6">
        <f>Revenue!F$13*Assumptions!F$11*0.4</f>
        <v/>
      </c>
      <c r="G6" s="6">
        <f>Revenue!G$13*Assumptions!G$11*0.4</f>
        <v/>
      </c>
      <c r="H6" s="6">
        <f>Revenue!H$13*Assumptions!H$11*0.4</f>
        <v/>
      </c>
      <c r="I6" s="6">
        <f>Revenue!I$13*Assumptions!I$11*0.4</f>
        <v/>
      </c>
      <c r="J6" s="6">
        <f>Revenue!J$13*Assumptions!J$11*0.4</f>
        <v/>
      </c>
      <c r="K6" s="6">
        <f>Revenue!K$13*Assumptions!K$11*0.4</f>
        <v/>
      </c>
    </row>
    <row r="7">
      <c r="A7" s="3" t="inlineStr">
        <is>
          <t>Inventory</t>
        </is>
      </c>
      <c r="B7" s="6">
        <f>Revenue!B$13*Assumptions!B$11*0.3</f>
        <v/>
      </c>
      <c r="C7" s="6">
        <f>Revenue!C$13*Assumptions!C$11*0.3</f>
        <v/>
      </c>
      <c r="D7" s="6">
        <f>Revenue!D$13*Assumptions!D$11*0.3</f>
        <v/>
      </c>
      <c r="E7" s="6">
        <f>Revenue!E$13*Assumptions!E$11*0.3</f>
        <v/>
      </c>
      <c r="F7" s="6">
        <f>Revenue!F$13*Assumptions!F$11*0.3</f>
        <v/>
      </c>
      <c r="G7" s="6">
        <f>Revenue!G$13*Assumptions!G$11*0.3</f>
        <v/>
      </c>
      <c r="H7" s="6">
        <f>Revenue!H$13*Assumptions!H$11*0.3</f>
        <v/>
      </c>
      <c r="I7" s="6">
        <f>Revenue!I$13*Assumptions!I$11*0.3</f>
        <v/>
      </c>
      <c r="J7" s="6">
        <f>Revenue!J$13*Assumptions!J$11*0.3</f>
        <v/>
      </c>
      <c r="K7" s="6">
        <f>Revenue!K$13*Assumptions!K$11*0.3</f>
        <v/>
      </c>
    </row>
    <row r="8">
      <c r="A8" s="3" t="inlineStr">
        <is>
          <t>Prepaid Expenses</t>
        </is>
      </c>
      <c r="B8" s="6">
        <f>Revenue!B$13*0.02</f>
        <v/>
      </c>
      <c r="C8" s="6">
        <f>Revenue!C$13*0.02</f>
        <v/>
      </c>
      <c r="D8" s="6">
        <f>Revenue!D$13*0.02</f>
        <v/>
      </c>
      <c r="E8" s="6">
        <f>Revenue!E$13*0.02</f>
        <v/>
      </c>
      <c r="F8" s="6">
        <f>Revenue!F$13*0.02</f>
        <v/>
      </c>
      <c r="G8" s="6">
        <f>Revenue!G$13*0.02</f>
        <v/>
      </c>
      <c r="H8" s="6">
        <f>Revenue!H$13*0.02</f>
        <v/>
      </c>
      <c r="I8" s="6">
        <f>Revenue!I$13*0.02</f>
        <v/>
      </c>
      <c r="J8" s="6">
        <f>Revenue!J$13*0.02</f>
        <v/>
      </c>
      <c r="K8" s="6">
        <f>Revenue!K$13*0.02</f>
        <v/>
      </c>
    </row>
    <row r="9">
      <c r="A9" s="14" t="inlineStr">
        <is>
          <t>Total Current Assets</t>
        </is>
      </c>
      <c r="B9" s="9">
        <f>SUM(B5:B8)</f>
        <v/>
      </c>
      <c r="C9" s="9">
        <f>SUM(C5:C8)</f>
        <v/>
      </c>
      <c r="D9" s="9">
        <f>SUM(D5:D8)</f>
        <v/>
      </c>
      <c r="E9" s="9">
        <f>SUM(E5:E8)</f>
        <v/>
      </c>
      <c r="F9" s="9">
        <f>SUM(F5:F8)</f>
        <v/>
      </c>
      <c r="G9" s="9">
        <f>SUM(G5:G8)</f>
        <v/>
      </c>
      <c r="H9" s="9">
        <f>SUM(H5:H8)</f>
        <v/>
      </c>
      <c r="I9" s="9">
        <f>SUM(I5:I8)</f>
        <v/>
      </c>
      <c r="J9" s="9">
        <f>SUM(J5:J8)</f>
        <v/>
      </c>
      <c r="K9" s="9">
        <f>SUM(K5:K8)</f>
        <v/>
      </c>
    </row>
    <row r="10">
      <c r="A10" s="3" t="inlineStr">
        <is>
          <t>PP&amp;E (Net)</t>
        </is>
      </c>
      <c r="B10" s="5" t="n">
        <v>30000000</v>
      </c>
      <c r="C10" s="6">
        <f>B10+Revenue!C$13*Assumptions!C$10-Revenue!C$13*Assumptions!C$8</f>
        <v/>
      </c>
      <c r="D10" s="6">
        <f>C10+Revenue!D$13*Assumptions!D$10-Revenue!D$13*Assumptions!D$8</f>
        <v/>
      </c>
      <c r="E10" s="6">
        <f>D10+Revenue!E$13*Assumptions!E$10-Revenue!E$13*Assumptions!E$8</f>
        <v/>
      </c>
      <c r="F10" s="6">
        <f>E10+Revenue!F$13*Assumptions!F$10-Revenue!F$13*Assumptions!F$8</f>
        <v/>
      </c>
      <c r="G10" s="6">
        <f>F10+Revenue!G$13*Assumptions!G$10-Revenue!G$13*Assumptions!G$8</f>
        <v/>
      </c>
      <c r="H10" s="6">
        <f>G10+Revenue!H$13*Assumptions!H$10-Revenue!H$13*Assumptions!H$8</f>
        <v/>
      </c>
      <c r="I10" s="6">
        <f>H10+Revenue!I$13*Assumptions!I$10-Revenue!I$13*Assumptions!I$8</f>
        <v/>
      </c>
      <c r="J10" s="6">
        <f>I10+Revenue!J$13*Assumptions!J$10-Revenue!J$13*Assumptions!J$8</f>
        <v/>
      </c>
      <c r="K10" s="6">
        <f>J10+Revenue!K$13*Assumptions!K$10-Revenue!K$13*Assumptions!K$8</f>
        <v/>
      </c>
    </row>
    <row r="11">
      <c r="A11" s="3" t="inlineStr">
        <is>
          <t>Intangible Assets</t>
        </is>
      </c>
      <c r="B11" s="5" t="n">
        <v>20000000</v>
      </c>
      <c r="C11" s="5" t="n">
        <v>20000000</v>
      </c>
      <c r="D11" s="5" t="n">
        <v>20000000</v>
      </c>
      <c r="E11" s="5" t="n">
        <v>20000000</v>
      </c>
      <c r="F11" s="5" t="n">
        <v>20000000</v>
      </c>
      <c r="G11" s="5" t="n">
        <v>20000000</v>
      </c>
      <c r="H11" s="5" t="n">
        <v>20000000</v>
      </c>
      <c r="I11" s="5" t="n">
        <v>20000000</v>
      </c>
      <c r="J11" s="5" t="n">
        <v>20000000</v>
      </c>
      <c r="K11" s="5" t="n">
        <v>20000000</v>
      </c>
    </row>
    <row r="12">
      <c r="A12" s="8" t="inlineStr">
        <is>
          <t>Total Assets</t>
        </is>
      </c>
      <c r="B12" s="9">
        <f>B9+B10+B11</f>
        <v/>
      </c>
      <c r="C12" s="9">
        <f>C9+C10+C11</f>
        <v/>
      </c>
      <c r="D12" s="9">
        <f>D9+D10+D11</f>
        <v/>
      </c>
      <c r="E12" s="9">
        <f>E9+E10+E11</f>
        <v/>
      </c>
      <c r="F12" s="9">
        <f>F9+F10+F11</f>
        <v/>
      </c>
      <c r="G12" s="9">
        <f>G9+G10+G11</f>
        <v/>
      </c>
      <c r="H12" s="9">
        <f>H9+H10+H11</f>
        <v/>
      </c>
      <c r="I12" s="9">
        <f>I9+I10+I11</f>
        <v/>
      </c>
      <c r="J12" s="9">
        <f>J9+J10+J11</f>
        <v/>
      </c>
      <c r="K12" s="9">
        <f>K9+K10+K11</f>
        <v/>
      </c>
    </row>
    <row r="14">
      <c r="A14" s="13" t="inlineStr">
        <is>
          <t>LIABILITIES &amp; EQUITY</t>
        </is>
      </c>
    </row>
    <row r="15">
      <c r="A15" s="3" t="inlineStr">
        <is>
          <t>Accounts Payable</t>
        </is>
      </c>
      <c r="B15" s="6">
        <f>Revenue!B$13*Assumptions!B$11*0.3</f>
        <v/>
      </c>
      <c r="C15" s="6">
        <f>Revenue!C$13*Assumptions!C$11*0.3</f>
        <v/>
      </c>
      <c r="D15" s="6">
        <f>Revenue!D$13*Assumptions!D$11*0.3</f>
        <v/>
      </c>
      <c r="E15" s="6">
        <f>Revenue!E$13*Assumptions!E$11*0.3</f>
        <v/>
      </c>
      <c r="F15" s="6">
        <f>Revenue!F$13*Assumptions!F$11*0.3</f>
        <v/>
      </c>
      <c r="G15" s="6">
        <f>Revenue!G$13*Assumptions!G$11*0.3</f>
        <v/>
      </c>
      <c r="H15" s="6">
        <f>Revenue!H$13*Assumptions!H$11*0.3</f>
        <v/>
      </c>
      <c r="I15" s="6">
        <f>Revenue!I$13*Assumptions!I$11*0.3</f>
        <v/>
      </c>
      <c r="J15" s="6">
        <f>Revenue!J$13*Assumptions!J$11*0.3</f>
        <v/>
      </c>
      <c r="K15" s="6">
        <f>Revenue!K$13*Assumptions!K$11*0.3</f>
        <v/>
      </c>
    </row>
    <row r="16">
      <c r="A16" s="3" t="inlineStr">
        <is>
          <t>Long-Term Debt</t>
        </is>
      </c>
      <c r="B16" s="5" t="n">
        <v>40000000</v>
      </c>
      <c r="C16" s="5" t="n">
        <v>40000000</v>
      </c>
      <c r="D16" s="5" t="n">
        <v>40000000</v>
      </c>
      <c r="E16" s="5" t="n">
        <v>40000000</v>
      </c>
      <c r="F16" s="5" t="n">
        <v>40000000</v>
      </c>
      <c r="G16" s="5" t="n">
        <v>40000000</v>
      </c>
      <c r="H16" s="5" t="n">
        <v>40000000</v>
      </c>
      <c r="I16" s="5" t="n">
        <v>40000000</v>
      </c>
      <c r="J16" s="5" t="n">
        <v>40000000</v>
      </c>
      <c r="K16" s="5" t="n">
        <v>40000000</v>
      </c>
    </row>
    <row r="17">
      <c r="A17" s="14" t="inlineStr">
        <is>
          <t>Total Liabilities</t>
        </is>
      </c>
      <c r="B17" s="9">
        <f>B15+B16</f>
        <v/>
      </c>
      <c r="C17" s="9">
        <f>C15+C16</f>
        <v/>
      </c>
      <c r="D17" s="9">
        <f>D15+D16</f>
        <v/>
      </c>
      <c r="E17" s="9">
        <f>E15+E16</f>
        <v/>
      </c>
      <c r="F17" s="9">
        <f>F15+F16</f>
        <v/>
      </c>
      <c r="G17" s="9">
        <f>G15+G16</f>
        <v/>
      </c>
      <c r="H17" s="9">
        <f>H15+H16</f>
        <v/>
      </c>
      <c r="I17" s="9">
        <f>I15+I16</f>
        <v/>
      </c>
      <c r="J17" s="9">
        <f>J15+J16</f>
        <v/>
      </c>
      <c r="K17" s="9">
        <f>K15+K16</f>
        <v/>
      </c>
    </row>
    <row r="18">
      <c r="A18" s="3" t="inlineStr">
        <is>
          <t>Retained Earnings</t>
        </is>
      </c>
      <c r="B18" s="5" t="n">
        <v>30000000</v>
      </c>
      <c r="C18" s="6">
        <f>B18+'P&amp;L'!C$16*(1-Assumptions!C$16)</f>
        <v/>
      </c>
      <c r="D18" s="6">
        <f>C18+'P&amp;L'!D$16*(1-Assumptions!D$16)</f>
        <v/>
      </c>
      <c r="E18" s="6">
        <f>D18+'P&amp;L'!E$16*(1-Assumptions!E$16)</f>
        <v/>
      </c>
      <c r="F18" s="6">
        <f>E18+'P&amp;L'!F$16*(1-Assumptions!F$16)</f>
        <v/>
      </c>
      <c r="G18" s="6">
        <f>F18+'P&amp;L'!G$16*(1-Assumptions!G$16)</f>
        <v/>
      </c>
      <c r="H18" s="6">
        <f>G18+'P&amp;L'!H$16*(1-Assumptions!H$16)</f>
        <v/>
      </c>
      <c r="I18" s="6">
        <f>H18+'P&amp;L'!I$16*(1-Assumptions!I$16)</f>
        <v/>
      </c>
      <c r="J18" s="6">
        <f>I18+'P&amp;L'!J$16*(1-Assumptions!J$16)</f>
        <v/>
      </c>
      <c r="K18" s="6">
        <f>J18+'P&amp;L'!K$16*(1-Assumptions!K$16)</f>
        <v/>
      </c>
    </row>
    <row r="19">
      <c r="A19" s="14" t="inlineStr">
        <is>
          <t>Total Equity</t>
        </is>
      </c>
      <c r="B19" s="9">
        <f>B12-B17</f>
        <v/>
      </c>
      <c r="C19" s="9">
        <f>C12-C17</f>
        <v/>
      </c>
      <c r="D19" s="9">
        <f>D12-D17</f>
        <v/>
      </c>
      <c r="E19" s="9">
        <f>E12-E17</f>
        <v/>
      </c>
      <c r="F19" s="9">
        <f>F12-F17</f>
        <v/>
      </c>
      <c r="G19" s="9">
        <f>G12-G17</f>
        <v/>
      </c>
      <c r="H19" s="9">
        <f>H12-H17</f>
        <v/>
      </c>
      <c r="I19" s="9">
        <f>I12-I17</f>
        <v/>
      </c>
      <c r="J19" s="9">
        <f>J12-J17</f>
        <v/>
      </c>
      <c r="K19" s="9">
        <f>K12-K17</f>
        <v/>
      </c>
    </row>
    <row r="20">
      <c r="A20" s="15" t="inlineStr">
        <is>
          <t>Balance Check (should = 0)</t>
        </is>
      </c>
      <c r="B20" s="6">
        <f>B12-B17-B19</f>
        <v/>
      </c>
      <c r="C20" s="6">
        <f>C12-C17-C19</f>
        <v/>
      </c>
      <c r="D20" s="6">
        <f>D12-D17-D19</f>
        <v/>
      </c>
      <c r="E20" s="6">
        <f>E12-E17-E19</f>
        <v/>
      </c>
      <c r="F20" s="6">
        <f>F12-F17-F19</f>
        <v/>
      </c>
      <c r="G20" s="6">
        <f>G12-G17-G19</f>
        <v/>
      </c>
      <c r="H20" s="6">
        <f>H12-H17-H19</f>
        <v/>
      </c>
      <c r="I20" s="6">
        <f>I12-I17-I19</f>
        <v/>
      </c>
      <c r="J20" s="6">
        <f>J12-J17-J19</f>
        <v/>
      </c>
      <c r="K20" s="6">
        <f>K12-K17-K19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CASH FLOW STATEMENT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8" t="inlineStr">
        <is>
          <t>OPERATING ACTIVITIES</t>
        </is>
      </c>
    </row>
    <row r="5">
      <c r="A5" s="3" t="inlineStr">
        <is>
          <t>Net Income</t>
        </is>
      </c>
      <c r="B5" s="6">
        <f>'P&amp;L'!B$16</f>
        <v/>
      </c>
      <c r="C5" s="6">
        <f>'P&amp;L'!C$16</f>
        <v/>
      </c>
      <c r="D5" s="6">
        <f>'P&amp;L'!D$16</f>
        <v/>
      </c>
      <c r="E5" s="6">
        <f>'P&amp;L'!E$16</f>
        <v/>
      </c>
      <c r="F5" s="6">
        <f>'P&amp;L'!F$16</f>
        <v/>
      </c>
      <c r="G5" s="6">
        <f>'P&amp;L'!G$16</f>
        <v/>
      </c>
      <c r="H5" s="6">
        <f>'P&amp;L'!H$16</f>
        <v/>
      </c>
      <c r="I5" s="6">
        <f>'P&amp;L'!I$16</f>
        <v/>
      </c>
      <c r="J5" s="6">
        <f>'P&amp;L'!J$16</f>
        <v/>
      </c>
      <c r="K5" s="6">
        <f>'P&amp;L'!K$16</f>
        <v/>
      </c>
    </row>
    <row r="6">
      <c r="A6" s="3" t="inlineStr">
        <is>
          <t>Add: D&amp;A</t>
        </is>
      </c>
      <c r="B6" s="6">
        <f>Revenue!B$13*Assumptions!B$8</f>
        <v/>
      </c>
      <c r="C6" s="6">
        <f>Revenue!C$13*Assumptions!C$8</f>
        <v/>
      </c>
      <c r="D6" s="6">
        <f>Revenue!D$13*Assumptions!D$8</f>
        <v/>
      </c>
      <c r="E6" s="6">
        <f>Revenue!E$13*Assumptions!E$8</f>
        <v/>
      </c>
      <c r="F6" s="6">
        <f>Revenue!F$13*Assumptions!F$8</f>
        <v/>
      </c>
      <c r="G6" s="6">
        <f>Revenue!G$13*Assumptions!G$8</f>
        <v/>
      </c>
      <c r="H6" s="6">
        <f>Revenue!H$13*Assumptions!H$8</f>
        <v/>
      </c>
      <c r="I6" s="6">
        <f>Revenue!I$13*Assumptions!I$8</f>
        <v/>
      </c>
      <c r="J6" s="6">
        <f>Revenue!J$13*Assumptions!J$8</f>
        <v/>
      </c>
      <c r="K6" s="6">
        <f>Revenue!K$13*Assumptions!K$8</f>
        <v/>
      </c>
    </row>
    <row r="7">
      <c r="A7" s="3" t="inlineStr">
        <is>
          <t>Changes in Working Capital</t>
        </is>
      </c>
      <c r="B7" s="5" t="n">
        <v>0</v>
      </c>
      <c r="C7" s="6">
        <f>-('Balance Sheet'!C$6-'Balance Sheet'!B$6+'Balance Sheet'!C$7-'Balance Sheet'!B$7-'Balance Sheet'!C$15+'Balance Sheet'!B$15)</f>
        <v/>
      </c>
      <c r="D7" s="6">
        <f>-('Balance Sheet'!D$6-'Balance Sheet'!C$6+'Balance Sheet'!D$7-'Balance Sheet'!C$7-'Balance Sheet'!D$15+'Balance Sheet'!C$15)</f>
        <v/>
      </c>
      <c r="E7" s="6">
        <f>-('Balance Sheet'!E$6-'Balance Sheet'!D$6+'Balance Sheet'!E$7-'Balance Sheet'!D$7-'Balance Sheet'!E$15+'Balance Sheet'!D$15)</f>
        <v/>
      </c>
      <c r="F7" s="6">
        <f>-('Balance Sheet'!F$6-'Balance Sheet'!E$6+'Balance Sheet'!F$7-'Balance Sheet'!E$7-'Balance Sheet'!F$15+'Balance Sheet'!E$15)</f>
        <v/>
      </c>
      <c r="G7" s="6">
        <f>-('Balance Sheet'!G$6-'Balance Sheet'!F$6+'Balance Sheet'!G$7-'Balance Sheet'!F$7-'Balance Sheet'!G$15+'Balance Sheet'!F$15)</f>
        <v/>
      </c>
      <c r="H7" s="6">
        <f>-('Balance Sheet'!H$6-'Balance Sheet'!G$6+'Balance Sheet'!H$7-'Balance Sheet'!G$7-'Balance Sheet'!H$15+'Balance Sheet'!G$15)</f>
        <v/>
      </c>
      <c r="I7" s="6">
        <f>-('Balance Sheet'!I$6-'Balance Sheet'!H$6+'Balance Sheet'!I$7-'Balance Sheet'!H$7-'Balance Sheet'!I$15+'Balance Sheet'!H$15)</f>
        <v/>
      </c>
      <c r="J7" s="6">
        <f>-('Balance Sheet'!J$6-'Balance Sheet'!I$6+'Balance Sheet'!J$7-'Balance Sheet'!I$7-'Balance Sheet'!J$15+'Balance Sheet'!I$15)</f>
        <v/>
      </c>
      <c r="K7" s="6">
        <f>-('Balance Sheet'!K$6-'Balance Sheet'!J$6+'Balance Sheet'!K$7-'Balance Sheet'!J$7-'Balance Sheet'!K$15+'Balance Sheet'!J$15)</f>
        <v/>
      </c>
    </row>
    <row r="8">
      <c r="A8" s="14" t="inlineStr">
        <is>
          <t>Cash from Operations</t>
        </is>
      </c>
      <c r="B8" s="9">
        <f>B5+B6+B7</f>
        <v/>
      </c>
      <c r="C8" s="9">
        <f>C5+C6+C7</f>
        <v/>
      </c>
      <c r="D8" s="9">
        <f>D5+D6+D7</f>
        <v/>
      </c>
      <c r="E8" s="9">
        <f>E5+E6+E7</f>
        <v/>
      </c>
      <c r="F8" s="9">
        <f>F5+F6+F7</f>
        <v/>
      </c>
      <c r="G8" s="9">
        <f>G5+G6+G7</f>
        <v/>
      </c>
      <c r="H8" s="9">
        <f>H5+H6+H7</f>
        <v/>
      </c>
      <c r="I8" s="9">
        <f>I5+I6+I7</f>
        <v/>
      </c>
      <c r="J8" s="9">
        <f>J5+J6+J7</f>
        <v/>
      </c>
      <c r="K8" s="9">
        <f>K5+K6+K7</f>
        <v/>
      </c>
    </row>
    <row r="10">
      <c r="A10" s="8" t="inlineStr">
        <is>
          <t>INVESTING ACTIVITIES</t>
        </is>
      </c>
    </row>
    <row r="11">
      <c r="A11" s="3" t="inlineStr">
        <is>
          <t>Capital Expenditures</t>
        </is>
      </c>
      <c r="B11" s="6">
        <f>-Revenue!B$13*Assumptions!B$10</f>
        <v/>
      </c>
      <c r="C11" s="6">
        <f>-Revenue!C$13*Assumptions!C$10</f>
        <v/>
      </c>
      <c r="D11" s="6">
        <f>-Revenue!D$13*Assumptions!D$10</f>
        <v/>
      </c>
      <c r="E11" s="6">
        <f>-Revenue!E$13*Assumptions!E$10</f>
        <v/>
      </c>
      <c r="F11" s="6">
        <f>-Revenue!F$13*Assumptions!F$10</f>
        <v/>
      </c>
      <c r="G11" s="6">
        <f>-Revenue!G$13*Assumptions!G$10</f>
        <v/>
      </c>
      <c r="H11" s="6">
        <f>-Revenue!H$13*Assumptions!H$10</f>
        <v/>
      </c>
      <c r="I11" s="6">
        <f>-Revenue!I$13*Assumptions!I$10</f>
        <v/>
      </c>
      <c r="J11" s="6">
        <f>-Revenue!J$13*Assumptions!J$10</f>
        <v/>
      </c>
      <c r="K11" s="6">
        <f>-Revenue!K$13*Assumptions!K$10</f>
        <v/>
      </c>
    </row>
    <row r="13">
      <c r="A13" s="8" t="inlineStr">
        <is>
          <t>FINANCING ACTIVITIES</t>
        </is>
      </c>
    </row>
    <row r="14">
      <c r="A14" s="3" t="inlineStr">
        <is>
          <t>Dividends Paid</t>
        </is>
      </c>
      <c r="B14" s="6">
        <f>-'P&amp;L'!B$16*Assumptions!B$16</f>
        <v/>
      </c>
      <c r="C14" s="6">
        <f>-'P&amp;L'!C$16*Assumptions!C$16</f>
        <v/>
      </c>
      <c r="D14" s="6">
        <f>-'P&amp;L'!D$16*Assumptions!D$16</f>
        <v/>
      </c>
      <c r="E14" s="6">
        <f>-'P&amp;L'!E$16*Assumptions!E$16</f>
        <v/>
      </c>
      <c r="F14" s="6">
        <f>-'P&amp;L'!F$16*Assumptions!F$16</f>
        <v/>
      </c>
      <c r="G14" s="6">
        <f>-'P&amp;L'!G$16*Assumptions!G$16</f>
        <v/>
      </c>
      <c r="H14" s="6">
        <f>-'P&amp;L'!H$16*Assumptions!H$16</f>
        <v/>
      </c>
      <c r="I14" s="6">
        <f>-'P&amp;L'!I$16*Assumptions!I$16</f>
        <v/>
      </c>
      <c r="J14" s="6">
        <f>-'P&amp;L'!J$16*Assumptions!J$16</f>
        <v/>
      </c>
      <c r="K14" s="6">
        <f>-'P&amp;L'!K$16*Assumptions!K$16</f>
        <v/>
      </c>
    </row>
    <row r="16">
      <c r="A16" s="14" t="inlineStr">
        <is>
          <t>Net Change in Cash</t>
        </is>
      </c>
      <c r="B16" s="9">
        <f>B8+B11+B14</f>
        <v/>
      </c>
      <c r="C16" s="9">
        <f>C8+C11+C14</f>
        <v/>
      </c>
      <c r="D16" s="9">
        <f>D8+D11+D14</f>
        <v/>
      </c>
      <c r="E16" s="9">
        <f>E8+E11+E14</f>
        <v/>
      </c>
      <c r="F16" s="9">
        <f>F8+F11+F14</f>
        <v/>
      </c>
      <c r="G16" s="9">
        <f>G8+G11+G14</f>
        <v/>
      </c>
      <c r="H16" s="9">
        <f>H8+H11+H14</f>
        <v/>
      </c>
      <c r="I16" s="9">
        <f>I8+I11+I14</f>
        <v/>
      </c>
      <c r="J16" s="9">
        <f>J8+J11+J14</f>
        <v/>
      </c>
      <c r="K16" s="9">
        <f>K8+K11+K14</f>
        <v/>
      </c>
    </row>
    <row r="17">
      <c r="A17" s="14" t="inlineStr">
        <is>
          <t>Ending Cash Balance</t>
        </is>
      </c>
      <c r="B17" s="9">
        <f>'Balance Sheet'!B$5+B16</f>
        <v/>
      </c>
      <c r="C17" s="9">
        <f>B17+C16</f>
        <v/>
      </c>
      <c r="D17" s="9">
        <f>C17+D16</f>
        <v/>
      </c>
      <c r="E17" s="9">
        <f>D17+E16</f>
        <v/>
      </c>
      <c r="F17" s="9">
        <f>E17+F16</f>
        <v/>
      </c>
      <c r="G17" s="9">
        <f>F17+G16</f>
        <v/>
      </c>
      <c r="H17" s="9">
        <f>G17+H16</f>
        <v/>
      </c>
      <c r="I17" s="9">
        <f>H17+I16</f>
        <v/>
      </c>
      <c r="J17" s="9">
        <f>I17+J16</f>
        <v/>
      </c>
      <c r="K17" s="9">
        <f>J17+K16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DCF VALUATION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EBIT</t>
        </is>
      </c>
      <c r="B4" s="6">
        <f>'P&amp;L'!B$10</f>
        <v/>
      </c>
      <c r="C4" s="6">
        <f>'P&amp;L'!C$10</f>
        <v/>
      </c>
      <c r="D4" s="6">
        <f>'P&amp;L'!D$10</f>
        <v/>
      </c>
      <c r="E4" s="6">
        <f>'P&amp;L'!E$10</f>
        <v/>
      </c>
      <c r="F4" s="6">
        <f>'P&amp;L'!F$10</f>
        <v/>
      </c>
      <c r="G4" s="6">
        <f>'P&amp;L'!G$10</f>
        <v/>
      </c>
      <c r="H4" s="6">
        <f>'P&amp;L'!H$10</f>
        <v/>
      </c>
      <c r="I4" s="6">
        <f>'P&amp;L'!I$10</f>
        <v/>
      </c>
      <c r="J4" s="6">
        <f>'P&amp;L'!J$10</f>
        <v/>
      </c>
      <c r="K4" s="6">
        <f>'P&amp;L'!K$10</f>
        <v/>
      </c>
    </row>
    <row r="5">
      <c r="A5" s="3" t="inlineStr">
        <is>
          <t>Tax on EBIT</t>
        </is>
      </c>
      <c r="B5" s="6">
        <f>-B4*Assumptions!B$9</f>
        <v/>
      </c>
      <c r="C5" s="6">
        <f>-C4*Assumptions!C$9</f>
        <v/>
      </c>
      <c r="D5" s="6">
        <f>-D4*Assumptions!D$9</f>
        <v/>
      </c>
      <c r="E5" s="6">
        <f>-E4*Assumptions!E$9</f>
        <v/>
      </c>
      <c r="F5" s="6">
        <f>-F4*Assumptions!F$9</f>
        <v/>
      </c>
      <c r="G5" s="6">
        <f>-G4*Assumptions!G$9</f>
        <v/>
      </c>
      <c r="H5" s="6">
        <f>-H4*Assumptions!H$9</f>
        <v/>
      </c>
      <c r="I5" s="6">
        <f>-I4*Assumptions!I$9</f>
        <v/>
      </c>
      <c r="J5" s="6">
        <f>-J4*Assumptions!J$9</f>
        <v/>
      </c>
      <c r="K5" s="6">
        <f>-K4*Assumptions!K$9</f>
        <v/>
      </c>
    </row>
    <row r="6">
      <c r="A6" s="3" t="inlineStr">
        <is>
          <t>NOPAT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6">
        <f>I4+I5</f>
        <v/>
      </c>
      <c r="J6" s="6">
        <f>J4+J5</f>
        <v/>
      </c>
      <c r="K6" s="6">
        <f>K4+K5</f>
        <v/>
      </c>
    </row>
    <row r="7">
      <c r="A7" s="3" t="inlineStr">
        <is>
          <t>Add: D&amp;A</t>
        </is>
      </c>
      <c r="B7" s="6">
        <f>'Cash Flow'!B$6</f>
        <v/>
      </c>
      <c r="C7" s="6">
        <f>'Cash Flow'!C$6</f>
        <v/>
      </c>
      <c r="D7" s="6">
        <f>'Cash Flow'!D$6</f>
        <v/>
      </c>
      <c r="E7" s="6">
        <f>'Cash Flow'!E$6</f>
        <v/>
      </c>
      <c r="F7" s="6">
        <f>'Cash Flow'!F$6</f>
        <v/>
      </c>
      <c r="G7" s="6">
        <f>'Cash Flow'!G$6</f>
        <v/>
      </c>
      <c r="H7" s="6">
        <f>'Cash Flow'!H$6</f>
        <v/>
      </c>
      <c r="I7" s="6">
        <f>'Cash Flow'!I$6</f>
        <v/>
      </c>
      <c r="J7" s="6">
        <f>'Cash Flow'!J$6</f>
        <v/>
      </c>
      <c r="K7" s="6">
        <f>'Cash Flow'!K$6</f>
        <v/>
      </c>
    </row>
    <row r="8">
      <c r="A8" s="3" t="inlineStr">
        <is>
          <t>Less: CapEx</t>
        </is>
      </c>
      <c r="B8" s="6">
        <f>'Cash Flow'!B$11</f>
        <v/>
      </c>
      <c r="C8" s="6">
        <f>'Cash Flow'!C$11</f>
        <v/>
      </c>
      <c r="D8" s="6">
        <f>'Cash Flow'!D$11</f>
        <v/>
      </c>
      <c r="E8" s="6">
        <f>'Cash Flow'!E$11</f>
        <v/>
      </c>
      <c r="F8" s="6">
        <f>'Cash Flow'!F$11</f>
        <v/>
      </c>
      <c r="G8" s="6">
        <f>'Cash Flow'!G$11</f>
        <v/>
      </c>
      <c r="H8" s="6">
        <f>'Cash Flow'!H$11</f>
        <v/>
      </c>
      <c r="I8" s="6">
        <f>'Cash Flow'!I$11</f>
        <v/>
      </c>
      <c r="J8" s="6">
        <f>'Cash Flow'!J$11</f>
        <v/>
      </c>
      <c r="K8" s="6">
        <f>'Cash Flow'!K$11</f>
        <v/>
      </c>
    </row>
    <row r="9">
      <c r="A9" s="3" t="inlineStr">
        <is>
          <t>Less: Change in NWC</t>
        </is>
      </c>
      <c r="B9" s="6">
        <f>'Cash Flow'!B$7</f>
        <v/>
      </c>
      <c r="C9" s="6">
        <f>'Cash Flow'!C$7</f>
        <v/>
      </c>
      <c r="D9" s="6">
        <f>'Cash Flow'!D$7</f>
        <v/>
      </c>
      <c r="E9" s="6">
        <f>'Cash Flow'!E$7</f>
        <v/>
      </c>
      <c r="F9" s="6">
        <f>'Cash Flow'!F$7</f>
        <v/>
      </c>
      <c r="G9" s="6">
        <f>'Cash Flow'!G$7</f>
        <v/>
      </c>
      <c r="H9" s="6">
        <f>'Cash Flow'!H$7</f>
        <v/>
      </c>
      <c r="I9" s="6">
        <f>'Cash Flow'!I$7</f>
        <v/>
      </c>
      <c r="J9" s="6">
        <f>'Cash Flow'!J$7</f>
        <v/>
      </c>
      <c r="K9" s="6">
        <f>'Cash Flow'!K$7</f>
        <v/>
      </c>
    </row>
    <row r="10">
      <c r="A10" s="8" t="inlineStr">
        <is>
          <t>Free Cash Flow (FCFF)</t>
        </is>
      </c>
      <c r="B10" s="9">
        <f>B6+B7+B8+B9</f>
        <v/>
      </c>
      <c r="C10" s="9">
        <f>C6+C7+C8+C9</f>
        <v/>
      </c>
      <c r="D10" s="9">
        <f>D6+D7+D8+D9</f>
        <v/>
      </c>
      <c r="E10" s="9">
        <f>E6+E7+E8+E9</f>
        <v/>
      </c>
      <c r="F10" s="9">
        <f>F6+F7+F8+F9</f>
        <v/>
      </c>
      <c r="G10" s="9">
        <f>G6+G7+G8+G9</f>
        <v/>
      </c>
      <c r="H10" s="9">
        <f>H6+H7+H8+H9</f>
        <v/>
      </c>
      <c r="I10" s="9">
        <f>I6+I7+I8+I9</f>
        <v/>
      </c>
      <c r="J10" s="9">
        <f>J6+J7+J8+J9</f>
        <v/>
      </c>
      <c r="K10" s="9">
        <f>K6+K7+K8+K9</f>
        <v/>
      </c>
    </row>
    <row r="12">
      <c r="A12" s="3" t="inlineStr">
        <is>
          <t>Discount Factor</t>
        </is>
      </c>
      <c r="B12" s="16">
        <f>1/(1+Assumptions!B$12)^1</f>
        <v/>
      </c>
      <c r="C12" s="16">
        <f>1/(1+Assumptions!C$12)^2</f>
        <v/>
      </c>
      <c r="D12" s="16">
        <f>1/(1+Assumptions!D$12)^3</f>
        <v/>
      </c>
      <c r="E12" s="16">
        <f>1/(1+Assumptions!E$12)^4</f>
        <v/>
      </c>
      <c r="F12" s="16">
        <f>1/(1+Assumptions!F$12)^5</f>
        <v/>
      </c>
      <c r="G12" s="16">
        <f>1/(1+Assumptions!G$12)^6</f>
        <v/>
      </c>
      <c r="H12" s="16">
        <f>1/(1+Assumptions!H$12)^7</f>
        <v/>
      </c>
      <c r="I12" s="16">
        <f>1/(1+Assumptions!I$12)^8</f>
        <v/>
      </c>
      <c r="J12" s="16">
        <f>1/(1+Assumptions!J$12)^9</f>
        <v/>
      </c>
      <c r="K12" s="16">
        <f>1/(1+Assumptions!K$12)^10</f>
        <v/>
      </c>
    </row>
    <row r="13">
      <c r="A13" s="14" t="inlineStr">
        <is>
          <t>PV of FCF</t>
        </is>
      </c>
      <c r="B13" s="6">
        <f>B10*B12</f>
        <v/>
      </c>
      <c r="C13" s="6">
        <f>C10*C12</f>
        <v/>
      </c>
      <c r="D13" s="6">
        <f>D10*D12</f>
        <v/>
      </c>
      <c r="E13" s="6">
        <f>E10*E12</f>
        <v/>
      </c>
      <c r="F13" s="6">
        <f>F10*F12</f>
        <v/>
      </c>
      <c r="G13" s="6">
        <f>G10*G12</f>
        <v/>
      </c>
      <c r="H13" s="6">
        <f>H10*H12</f>
        <v/>
      </c>
      <c r="I13" s="6">
        <f>I10*I12</f>
        <v/>
      </c>
      <c r="J13" s="6">
        <f>J10*J12</f>
        <v/>
      </c>
      <c r="K13" s="6">
        <f>K10*K12</f>
        <v/>
      </c>
    </row>
    <row r="15">
      <c r="A15" s="13" t="inlineStr">
        <is>
          <t>VALUATION SUMMARY</t>
        </is>
      </c>
    </row>
    <row r="16">
      <c r="A16" s="3" t="inlineStr">
        <is>
          <t>Sum of PV of FCFs</t>
        </is>
      </c>
      <c r="B16" s="6">
        <f>SUM(B13:K13)</f>
        <v/>
      </c>
    </row>
    <row r="17">
      <c r="A17" s="3" t="inlineStr">
        <is>
          <t>Terminal Value (Gordon Growth)</t>
        </is>
      </c>
      <c r="B17" s="6">
        <f>K10*(1+Assumptions!K$13)/(Assumptions!K$12-Assumptions!K$13)</f>
        <v/>
      </c>
    </row>
    <row r="18">
      <c r="A18" s="3" t="inlineStr">
        <is>
          <t>PV of Terminal Value</t>
        </is>
      </c>
      <c r="B18" s="6">
        <f>B17*K12</f>
        <v/>
      </c>
    </row>
    <row r="19">
      <c r="A19" s="13" t="inlineStr">
        <is>
          <t>Enterprise Value</t>
        </is>
      </c>
      <c r="B19" s="17">
        <f>B16+B18</f>
        <v/>
      </c>
    </row>
    <row r="20">
      <c r="A20" s="3" t="inlineStr">
        <is>
          <t>Less: Net Debt</t>
        </is>
      </c>
      <c r="B20" s="6">
        <f>'Balance Sheet'!B$16-'Balance Sheet'!B$5</f>
        <v/>
      </c>
    </row>
    <row r="21">
      <c r="A21" s="13" t="inlineStr">
        <is>
          <t>Equity Value</t>
        </is>
      </c>
      <c r="B21" s="17">
        <f>B19-B20</f>
        <v/>
      </c>
    </row>
    <row r="22">
      <c r="A22" s="18" t="inlineStr">
        <is>
          <t>Price per Share</t>
        </is>
      </c>
      <c r="B22" s="19">
        <f>B21/Assumptions!B$14/1000000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SENSITIVITY TABLE: WACC vs Terminal Growth</t>
        </is>
      </c>
    </row>
    <row r="2">
      <c r="A2" s="20" t="inlineStr">
        <is>
          <t>Enterprise Value at different WACC / TGR combos</t>
        </is>
      </c>
    </row>
    <row r="4">
      <c r="A4" s="3" t="inlineStr">
        <is>
          <t>WACC \ TGR</t>
        </is>
      </c>
      <c r="B4" s="21" t="n">
        <v>0.01</v>
      </c>
      <c r="C4" s="21" t="n">
        <v>0.015</v>
      </c>
      <c r="D4" s="21" t="n">
        <v>0.02</v>
      </c>
      <c r="E4" s="21" t="n">
        <v>0.025</v>
      </c>
      <c r="F4" s="21" t="n">
        <v>0.03</v>
      </c>
      <c r="G4" s="21" t="n">
        <v>0.035</v>
      </c>
    </row>
    <row r="5">
      <c r="A5" s="21" t="n">
        <v>0.08</v>
      </c>
      <c r="B5" s="6">
        <f>DCF!B16+DCF!K10*(1+0.01)/(0.08-0.01)*1/(1+0.08)^10</f>
        <v/>
      </c>
      <c r="C5" s="6">
        <f>DCF!B16+DCF!K10*(1+0.015)/(0.08-0.015)*1/(1+0.08)^10</f>
        <v/>
      </c>
      <c r="D5" s="6">
        <f>DCF!B16+DCF!K10*(1+0.02)/(0.08-0.02)*1/(1+0.08)^10</f>
        <v/>
      </c>
      <c r="E5" s="6">
        <f>DCF!B16+DCF!K10*(1+0.025)/(0.08-0.025)*1/(1+0.08)^10</f>
        <v/>
      </c>
      <c r="F5" s="6">
        <f>DCF!B16+DCF!K10*(1+0.03)/(0.08-0.03)*1/(1+0.08)^10</f>
        <v/>
      </c>
      <c r="G5" s="6">
        <f>DCF!B16+DCF!K10*(1+0.035)/(0.08-0.035)*1/(1+0.08)^10</f>
        <v/>
      </c>
    </row>
    <row r="6">
      <c r="A6" s="21" t="n">
        <v>0.09</v>
      </c>
      <c r="B6" s="6">
        <f>DCF!B16+DCF!K10*(1+0.01)/(0.09-0.01)*1/(1+0.09)^10</f>
        <v/>
      </c>
      <c r="C6" s="6">
        <f>DCF!B16+DCF!K10*(1+0.015)/(0.09-0.015)*1/(1+0.09)^10</f>
        <v/>
      </c>
      <c r="D6" s="6">
        <f>DCF!B16+DCF!K10*(1+0.02)/(0.09-0.02)*1/(1+0.09)^10</f>
        <v/>
      </c>
      <c r="E6" s="6">
        <f>DCF!B16+DCF!K10*(1+0.025)/(0.09-0.025)*1/(1+0.09)^10</f>
        <v/>
      </c>
      <c r="F6" s="6">
        <f>DCF!B16+DCF!K10*(1+0.03)/(0.09-0.03)*1/(1+0.09)^10</f>
        <v/>
      </c>
      <c r="G6" s="6">
        <f>DCF!B16+DCF!K10*(1+0.035)/(0.09-0.035)*1/(1+0.09)^10</f>
        <v/>
      </c>
    </row>
    <row r="7">
      <c r="A7" s="21" t="n">
        <v>0.1</v>
      </c>
      <c r="B7" s="6">
        <f>DCF!B16+DCF!K10*(1+0.01)/(0.1-0.01)*1/(1+0.1)^10</f>
        <v/>
      </c>
      <c r="C7" s="6">
        <f>DCF!B16+DCF!K10*(1+0.015)/(0.1-0.015)*1/(1+0.1)^10</f>
        <v/>
      </c>
      <c r="D7" s="6">
        <f>DCF!B16+DCF!K10*(1+0.02)/(0.1-0.02)*1/(1+0.1)^10</f>
        <v/>
      </c>
      <c r="E7" s="6">
        <f>DCF!B16+DCF!K10*(1+0.025)/(0.1-0.025)*1/(1+0.1)^10</f>
        <v/>
      </c>
      <c r="F7" s="6">
        <f>DCF!B16+DCF!K10*(1+0.03)/(0.1-0.03)*1/(1+0.1)^10</f>
        <v/>
      </c>
      <c r="G7" s="6">
        <f>DCF!B16+DCF!K10*(1+0.035)/(0.1-0.035)*1/(1+0.1)^10</f>
        <v/>
      </c>
    </row>
    <row r="8">
      <c r="A8" s="21" t="n">
        <v>0.11</v>
      </c>
      <c r="B8" s="6">
        <f>DCF!B16+DCF!K10*(1+0.01)/(0.11-0.01)*1/(1+0.11)^10</f>
        <v/>
      </c>
      <c r="C8" s="6">
        <f>DCF!B16+DCF!K10*(1+0.015)/(0.11-0.015)*1/(1+0.11)^10</f>
        <v/>
      </c>
      <c r="D8" s="6">
        <f>DCF!B16+DCF!K10*(1+0.02)/(0.11-0.02)*1/(1+0.11)^10</f>
        <v/>
      </c>
      <c r="E8" s="6">
        <f>DCF!B16+DCF!K10*(1+0.025)/(0.11-0.025)*1/(1+0.11)^10</f>
        <v/>
      </c>
      <c r="F8" s="6">
        <f>DCF!B16+DCF!K10*(1+0.03)/(0.11-0.03)*1/(1+0.11)^10</f>
        <v/>
      </c>
      <c r="G8" s="6">
        <f>DCF!B16+DCF!K10*(1+0.035)/(0.11-0.035)*1/(1+0.11)^10</f>
        <v/>
      </c>
    </row>
    <row r="9">
      <c r="A9" s="21" t="n">
        <v>0.12</v>
      </c>
      <c r="B9" s="6">
        <f>DCF!B16+DCF!K10*(1+0.01)/(0.12-0.01)*1/(1+0.12)^10</f>
        <v/>
      </c>
      <c r="C9" s="6">
        <f>DCF!B16+DCF!K10*(1+0.015)/(0.12-0.015)*1/(1+0.12)^10</f>
        <v/>
      </c>
      <c r="D9" s="6">
        <f>DCF!B16+DCF!K10*(1+0.02)/(0.12-0.02)*1/(1+0.12)^10</f>
        <v/>
      </c>
      <c r="E9" s="6">
        <f>DCF!B16+DCF!K10*(1+0.025)/(0.12-0.025)*1/(1+0.12)^10</f>
        <v/>
      </c>
      <c r="F9" s="6">
        <f>DCF!B16+DCF!K10*(1+0.03)/(0.12-0.03)*1/(1+0.12)^10</f>
        <v/>
      </c>
      <c r="G9" s="6">
        <f>DCF!B16+DCF!K10*(1+0.035)/(0.12-0.035)*1/(1+0.12)^10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HEADCOUNT PLAN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Engineering</t>
        </is>
      </c>
      <c r="B4" s="5" t="n">
        <v>120</v>
      </c>
      <c r="C4" s="6">
        <f>ROUND(B4*(1+Assumptions!C$4*0.7),0)</f>
        <v/>
      </c>
      <c r="D4" s="6">
        <f>ROUND(C4*(1+Assumptions!D$4*0.7),0)</f>
        <v/>
      </c>
      <c r="E4" s="6">
        <f>ROUND(D4*(1+Assumptions!E$4*0.7),0)</f>
        <v/>
      </c>
      <c r="F4" s="6">
        <f>ROUND(E4*(1+Assumptions!F$4*0.7),0)</f>
        <v/>
      </c>
      <c r="G4" s="6">
        <f>ROUND(F4*(1+Assumptions!G$4*0.7),0)</f>
        <v/>
      </c>
      <c r="H4" s="6">
        <f>ROUND(G4*(1+Assumptions!H$4*0.7),0)</f>
        <v/>
      </c>
      <c r="I4" s="6">
        <f>ROUND(H4*(1+Assumptions!I$4*0.7),0)</f>
        <v/>
      </c>
      <c r="J4" s="6">
        <f>ROUND(I4*(1+Assumptions!J$4*0.7),0)</f>
        <v/>
      </c>
      <c r="K4" s="6">
        <f>ROUND(J4*(1+Assumptions!K$4*0.7),0)</f>
        <v/>
      </c>
    </row>
    <row r="5">
      <c r="A5" s="3" t="inlineStr">
        <is>
          <t>Sales</t>
        </is>
      </c>
      <c r="B5" s="5" t="n">
        <v>80</v>
      </c>
      <c r="C5" s="6">
        <f>ROUND(B5*(1+Assumptions!C$4*0.7),0)</f>
        <v/>
      </c>
      <c r="D5" s="6">
        <f>ROUND(C5*(1+Assumptions!D$4*0.7),0)</f>
        <v/>
      </c>
      <c r="E5" s="6">
        <f>ROUND(D5*(1+Assumptions!E$4*0.7),0)</f>
        <v/>
      </c>
      <c r="F5" s="6">
        <f>ROUND(E5*(1+Assumptions!F$4*0.7),0)</f>
        <v/>
      </c>
      <c r="G5" s="6">
        <f>ROUND(F5*(1+Assumptions!G$4*0.7),0)</f>
        <v/>
      </c>
      <c r="H5" s="6">
        <f>ROUND(G5*(1+Assumptions!H$4*0.7),0)</f>
        <v/>
      </c>
      <c r="I5" s="6">
        <f>ROUND(H5*(1+Assumptions!I$4*0.7),0)</f>
        <v/>
      </c>
      <c r="J5" s="6">
        <f>ROUND(I5*(1+Assumptions!J$4*0.7),0)</f>
        <v/>
      </c>
      <c r="K5" s="6">
        <f>ROUND(J5*(1+Assumptions!K$4*0.7),0)</f>
        <v/>
      </c>
    </row>
    <row r="6">
      <c r="A6" s="3" t="inlineStr">
        <is>
          <t>Marketing</t>
        </is>
      </c>
      <c r="B6" s="5" t="n">
        <v>40</v>
      </c>
      <c r="C6" s="6">
        <f>ROUND(B6*(1+Assumptions!C$4*0.7),0)</f>
        <v/>
      </c>
      <c r="D6" s="6">
        <f>ROUND(C6*(1+Assumptions!D$4*0.7),0)</f>
        <v/>
      </c>
      <c r="E6" s="6">
        <f>ROUND(D6*(1+Assumptions!E$4*0.7),0)</f>
        <v/>
      </c>
      <c r="F6" s="6">
        <f>ROUND(E6*(1+Assumptions!F$4*0.7),0)</f>
        <v/>
      </c>
      <c r="G6" s="6">
        <f>ROUND(F6*(1+Assumptions!G$4*0.7),0)</f>
        <v/>
      </c>
      <c r="H6" s="6">
        <f>ROUND(G6*(1+Assumptions!H$4*0.7),0)</f>
        <v/>
      </c>
      <c r="I6" s="6">
        <f>ROUND(H6*(1+Assumptions!I$4*0.7),0)</f>
        <v/>
      </c>
      <c r="J6" s="6">
        <f>ROUND(I6*(1+Assumptions!J$4*0.7),0)</f>
        <v/>
      </c>
      <c r="K6" s="6">
        <f>ROUND(J6*(1+Assumptions!K$4*0.7),0)</f>
        <v/>
      </c>
    </row>
    <row r="7">
      <c r="A7" s="3" t="inlineStr">
        <is>
          <t>Customer Success</t>
        </is>
      </c>
      <c r="B7" s="5" t="n">
        <v>35</v>
      </c>
      <c r="C7" s="6">
        <f>ROUND(B7*(1+Assumptions!C$4*0.7),0)</f>
        <v/>
      </c>
      <c r="D7" s="6">
        <f>ROUND(C7*(1+Assumptions!D$4*0.7),0)</f>
        <v/>
      </c>
      <c r="E7" s="6">
        <f>ROUND(D7*(1+Assumptions!E$4*0.7),0)</f>
        <v/>
      </c>
      <c r="F7" s="6">
        <f>ROUND(E7*(1+Assumptions!F$4*0.7),0)</f>
        <v/>
      </c>
      <c r="G7" s="6">
        <f>ROUND(F7*(1+Assumptions!G$4*0.7),0)</f>
        <v/>
      </c>
      <c r="H7" s="6">
        <f>ROUND(G7*(1+Assumptions!H$4*0.7),0)</f>
        <v/>
      </c>
      <c r="I7" s="6">
        <f>ROUND(H7*(1+Assumptions!I$4*0.7),0)</f>
        <v/>
      </c>
      <c r="J7" s="6">
        <f>ROUND(I7*(1+Assumptions!J$4*0.7),0)</f>
        <v/>
      </c>
      <c r="K7" s="6">
        <f>ROUND(J7*(1+Assumptions!K$4*0.7),0)</f>
        <v/>
      </c>
    </row>
    <row r="8">
      <c r="A8" s="3" t="inlineStr">
        <is>
          <t>Finance &amp; Accounting</t>
        </is>
      </c>
      <c r="B8" s="5" t="n">
        <v>20</v>
      </c>
      <c r="C8" s="6">
        <f>ROUND(B8*(1+Assumptions!C$4*0.7),0)</f>
        <v/>
      </c>
      <c r="D8" s="6">
        <f>ROUND(C8*(1+Assumptions!D$4*0.7),0)</f>
        <v/>
      </c>
      <c r="E8" s="6">
        <f>ROUND(D8*(1+Assumptions!E$4*0.7),0)</f>
        <v/>
      </c>
      <c r="F8" s="6">
        <f>ROUND(E8*(1+Assumptions!F$4*0.7),0)</f>
        <v/>
      </c>
      <c r="G8" s="6">
        <f>ROUND(F8*(1+Assumptions!G$4*0.7),0)</f>
        <v/>
      </c>
      <c r="H8" s="6">
        <f>ROUND(G8*(1+Assumptions!H$4*0.7),0)</f>
        <v/>
      </c>
      <c r="I8" s="6">
        <f>ROUND(H8*(1+Assumptions!I$4*0.7),0)</f>
        <v/>
      </c>
      <c r="J8" s="6">
        <f>ROUND(I8*(1+Assumptions!J$4*0.7),0)</f>
        <v/>
      </c>
      <c r="K8" s="6">
        <f>ROUND(J8*(1+Assumptions!K$4*0.7),0)</f>
        <v/>
      </c>
    </row>
    <row r="9">
      <c r="A9" s="3" t="inlineStr">
        <is>
          <t>HR &amp; Admin</t>
        </is>
      </c>
      <c r="B9" s="5" t="n">
        <v>15</v>
      </c>
      <c r="C9" s="6">
        <f>ROUND(B9*(1+Assumptions!C$4*0.7),0)</f>
        <v/>
      </c>
      <c r="D9" s="6">
        <f>ROUND(C9*(1+Assumptions!D$4*0.7),0)</f>
        <v/>
      </c>
      <c r="E9" s="6">
        <f>ROUND(D9*(1+Assumptions!E$4*0.7),0)</f>
        <v/>
      </c>
      <c r="F9" s="6">
        <f>ROUND(E9*(1+Assumptions!F$4*0.7),0)</f>
        <v/>
      </c>
      <c r="G9" s="6">
        <f>ROUND(F9*(1+Assumptions!G$4*0.7),0)</f>
        <v/>
      </c>
      <c r="H9" s="6">
        <f>ROUND(G9*(1+Assumptions!H$4*0.7),0)</f>
        <v/>
      </c>
      <c r="I9" s="6">
        <f>ROUND(H9*(1+Assumptions!I$4*0.7),0)</f>
        <v/>
      </c>
      <c r="J9" s="6">
        <f>ROUND(I9*(1+Assumptions!J$4*0.7),0)</f>
        <v/>
      </c>
      <c r="K9" s="6">
        <f>ROUND(J9*(1+Assumptions!K$4*0.7),0)</f>
        <v/>
      </c>
    </row>
    <row r="10">
      <c r="A10" s="3" t="inlineStr">
        <is>
          <t>Legal</t>
        </is>
      </c>
      <c r="B10" s="5" t="n">
        <v>8</v>
      </c>
      <c r="C10" s="6">
        <f>ROUND(B10*(1+Assumptions!C$4*0.7),0)</f>
        <v/>
      </c>
      <c r="D10" s="6">
        <f>ROUND(C10*(1+Assumptions!D$4*0.7),0)</f>
        <v/>
      </c>
      <c r="E10" s="6">
        <f>ROUND(D10*(1+Assumptions!E$4*0.7),0)</f>
        <v/>
      </c>
      <c r="F10" s="6">
        <f>ROUND(E10*(1+Assumptions!F$4*0.7),0)</f>
        <v/>
      </c>
      <c r="G10" s="6">
        <f>ROUND(F10*(1+Assumptions!G$4*0.7),0)</f>
        <v/>
      </c>
      <c r="H10" s="6">
        <f>ROUND(G10*(1+Assumptions!H$4*0.7),0)</f>
        <v/>
      </c>
      <c r="I10" s="6">
        <f>ROUND(H10*(1+Assumptions!I$4*0.7),0)</f>
        <v/>
      </c>
      <c r="J10" s="6">
        <f>ROUND(I10*(1+Assumptions!J$4*0.7),0)</f>
        <v/>
      </c>
      <c r="K10" s="6">
        <f>ROUND(J10*(1+Assumptions!K$4*0.7),0)</f>
        <v/>
      </c>
    </row>
    <row r="11">
      <c r="A11" s="3" t="inlineStr">
        <is>
          <t>Executive</t>
        </is>
      </c>
      <c r="B11" s="5" t="n">
        <v>10</v>
      </c>
      <c r="C11" s="6">
        <f>ROUND(B11*(1+Assumptions!C$4*0.7),0)</f>
        <v/>
      </c>
      <c r="D11" s="6">
        <f>ROUND(C11*(1+Assumptions!D$4*0.7),0)</f>
        <v/>
      </c>
      <c r="E11" s="6">
        <f>ROUND(D11*(1+Assumptions!E$4*0.7),0)</f>
        <v/>
      </c>
      <c r="F11" s="6">
        <f>ROUND(E11*(1+Assumptions!F$4*0.7),0)</f>
        <v/>
      </c>
      <c r="G11" s="6">
        <f>ROUND(F11*(1+Assumptions!G$4*0.7),0)</f>
        <v/>
      </c>
      <c r="H11" s="6">
        <f>ROUND(G11*(1+Assumptions!H$4*0.7),0)</f>
        <v/>
      </c>
      <c r="I11" s="6">
        <f>ROUND(H11*(1+Assumptions!I$4*0.7),0)</f>
        <v/>
      </c>
      <c r="J11" s="6">
        <f>ROUND(I11*(1+Assumptions!J$4*0.7),0)</f>
        <v/>
      </c>
      <c r="K11" s="6">
        <f>ROUND(J11*(1+Assumptions!K$4*0.7),0)</f>
        <v/>
      </c>
    </row>
    <row r="12">
      <c r="A12" s="3" t="inlineStr">
        <is>
          <t>Data Science</t>
        </is>
      </c>
      <c r="B12" s="5" t="n">
        <v>25</v>
      </c>
      <c r="C12" s="6">
        <f>ROUND(B12*(1+Assumptions!C$4*0.7),0)</f>
        <v/>
      </c>
      <c r="D12" s="6">
        <f>ROUND(C12*(1+Assumptions!D$4*0.7),0)</f>
        <v/>
      </c>
      <c r="E12" s="6">
        <f>ROUND(D12*(1+Assumptions!E$4*0.7),0)</f>
        <v/>
      </c>
      <c r="F12" s="6">
        <f>ROUND(E12*(1+Assumptions!F$4*0.7),0)</f>
        <v/>
      </c>
      <c r="G12" s="6">
        <f>ROUND(F12*(1+Assumptions!G$4*0.7),0)</f>
        <v/>
      </c>
      <c r="H12" s="6">
        <f>ROUND(G12*(1+Assumptions!H$4*0.7),0)</f>
        <v/>
      </c>
      <c r="I12" s="6">
        <f>ROUND(H12*(1+Assumptions!I$4*0.7),0)</f>
        <v/>
      </c>
      <c r="J12" s="6">
        <f>ROUND(I12*(1+Assumptions!J$4*0.7),0)</f>
        <v/>
      </c>
      <c r="K12" s="6">
        <f>ROUND(J12*(1+Assumptions!K$4*0.7),0)</f>
        <v/>
      </c>
    </row>
    <row r="13">
      <c r="A13" s="3" t="inlineStr">
        <is>
          <t>Product Management</t>
        </is>
      </c>
      <c r="B13" s="5" t="n">
        <v>18</v>
      </c>
      <c r="C13" s="6">
        <f>ROUND(B13*(1+Assumptions!C$4*0.7),0)</f>
        <v/>
      </c>
      <c r="D13" s="6">
        <f>ROUND(C13*(1+Assumptions!D$4*0.7),0)</f>
        <v/>
      </c>
      <c r="E13" s="6">
        <f>ROUND(D13*(1+Assumptions!E$4*0.7),0)</f>
        <v/>
      </c>
      <c r="F13" s="6">
        <f>ROUND(E13*(1+Assumptions!F$4*0.7),0)</f>
        <v/>
      </c>
      <c r="G13" s="6">
        <f>ROUND(F13*(1+Assumptions!G$4*0.7),0)</f>
        <v/>
      </c>
      <c r="H13" s="6">
        <f>ROUND(G13*(1+Assumptions!H$4*0.7),0)</f>
        <v/>
      </c>
      <c r="I13" s="6">
        <f>ROUND(H13*(1+Assumptions!I$4*0.7),0)</f>
        <v/>
      </c>
      <c r="J13" s="6">
        <f>ROUND(I13*(1+Assumptions!J$4*0.7),0)</f>
        <v/>
      </c>
      <c r="K13" s="6">
        <f>ROUND(J13*(1+Assumptions!K$4*0.7),0)</f>
        <v/>
      </c>
    </row>
    <row r="14">
      <c r="A14" s="3" t="inlineStr">
        <is>
          <t>DevOps / SRE</t>
        </is>
      </c>
      <c r="B14" s="5" t="n">
        <v>15</v>
      </c>
      <c r="C14" s="6">
        <f>ROUND(B14*(1+Assumptions!C$4*0.7),0)</f>
        <v/>
      </c>
      <c r="D14" s="6">
        <f>ROUND(C14*(1+Assumptions!D$4*0.7),0)</f>
        <v/>
      </c>
      <c r="E14" s="6">
        <f>ROUND(D14*(1+Assumptions!E$4*0.7),0)</f>
        <v/>
      </c>
      <c r="F14" s="6">
        <f>ROUND(E14*(1+Assumptions!F$4*0.7),0)</f>
        <v/>
      </c>
      <c r="G14" s="6">
        <f>ROUND(F14*(1+Assumptions!G$4*0.7),0)</f>
        <v/>
      </c>
      <c r="H14" s="6">
        <f>ROUND(G14*(1+Assumptions!H$4*0.7),0)</f>
        <v/>
      </c>
      <c r="I14" s="6">
        <f>ROUND(H14*(1+Assumptions!I$4*0.7),0)</f>
        <v/>
      </c>
      <c r="J14" s="6">
        <f>ROUND(I14*(1+Assumptions!J$4*0.7),0)</f>
        <v/>
      </c>
      <c r="K14" s="6">
        <f>ROUND(J14*(1+Assumptions!K$4*0.7),0)</f>
        <v/>
      </c>
    </row>
    <row r="15">
      <c r="A15" s="3" t="inlineStr">
        <is>
          <t>Quality Assurance</t>
        </is>
      </c>
      <c r="B15" s="5" t="n">
        <v>20</v>
      </c>
      <c r="C15" s="6">
        <f>ROUND(B15*(1+Assumptions!C$4*0.7),0)</f>
        <v/>
      </c>
      <c r="D15" s="6">
        <f>ROUND(C15*(1+Assumptions!D$4*0.7),0)</f>
        <v/>
      </c>
      <c r="E15" s="6">
        <f>ROUND(D15*(1+Assumptions!E$4*0.7),0)</f>
        <v/>
      </c>
      <c r="F15" s="6">
        <f>ROUND(E15*(1+Assumptions!F$4*0.7),0)</f>
        <v/>
      </c>
      <c r="G15" s="6">
        <f>ROUND(F15*(1+Assumptions!G$4*0.7),0)</f>
        <v/>
      </c>
      <c r="H15" s="6">
        <f>ROUND(G15*(1+Assumptions!H$4*0.7),0)</f>
        <v/>
      </c>
      <c r="I15" s="6">
        <f>ROUND(H15*(1+Assumptions!I$4*0.7),0)</f>
        <v/>
      </c>
      <c r="J15" s="6">
        <f>ROUND(I15*(1+Assumptions!J$4*0.7),0)</f>
        <v/>
      </c>
      <c r="K15" s="6">
        <f>ROUND(J15*(1+Assumptions!K$4*0.7),0)</f>
        <v/>
      </c>
    </row>
    <row r="17">
      <c r="A17" s="14" t="inlineStr">
        <is>
          <t>Total Headcount</t>
        </is>
      </c>
      <c r="B17" s="9">
        <f>SUM(B4:B15)</f>
        <v/>
      </c>
      <c r="C17" s="9">
        <f>SUM(C4:C15)</f>
        <v/>
      </c>
      <c r="D17" s="9">
        <f>SUM(D4:D15)</f>
        <v/>
      </c>
      <c r="E17" s="9">
        <f>SUM(E4:E15)</f>
        <v/>
      </c>
      <c r="F17" s="9">
        <f>SUM(F4:F15)</f>
        <v/>
      </c>
      <c r="G17" s="9">
        <f>SUM(G4:G15)</f>
        <v/>
      </c>
      <c r="H17" s="9">
        <f>SUM(H4:H15)</f>
        <v/>
      </c>
      <c r="I17" s="9">
        <f>SUM(I4:I15)</f>
        <v/>
      </c>
      <c r="J17" s="9">
        <f>SUM(J4:J15)</f>
        <v/>
      </c>
      <c r="K17" s="9">
        <f>SUM(K4:K15)</f>
        <v/>
      </c>
    </row>
    <row r="18">
      <c r="A18" s="14" t="inlineStr">
        <is>
          <t>Revenue per Employee</t>
        </is>
      </c>
      <c r="B18" s="6">
        <f>Revenue!B$13/B17</f>
        <v/>
      </c>
      <c r="C18" s="6">
        <f>Revenue!C$13/C17</f>
        <v/>
      </c>
      <c r="D18" s="6">
        <f>Revenue!D$13/D17</f>
        <v/>
      </c>
      <c r="E18" s="6">
        <f>Revenue!E$13/E17</f>
        <v/>
      </c>
      <c r="F18" s="6">
        <f>Revenue!F$13/F17</f>
        <v/>
      </c>
      <c r="G18" s="6">
        <f>Revenue!G$13/G17</f>
        <v/>
      </c>
      <c r="H18" s="6">
        <f>Revenue!H$13/H17</f>
        <v/>
      </c>
      <c r="I18" s="6">
        <f>Revenue!I$13/I17</f>
        <v/>
      </c>
      <c r="J18" s="6">
        <f>Revenue!J$13/J17</f>
        <v/>
      </c>
      <c r="K18" s="6">
        <f>Revenue!K$13/K17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KEY PERFORMANCE INDICATORS</t>
        </is>
      </c>
    </row>
    <row r="3">
      <c r="A3" s="2" t="n"/>
      <c r="B3" s="2" t="n">
        <v>2024</v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</row>
    <row r="4">
      <c r="A4" s="3" t="inlineStr">
        <is>
          <t>Revenue</t>
        </is>
      </c>
      <c r="B4" s="6">
        <f>Revenue!B$13</f>
        <v/>
      </c>
      <c r="C4" s="6">
        <f>Revenue!C$13</f>
        <v/>
      </c>
      <c r="D4" s="6">
        <f>Revenue!D$13</f>
        <v/>
      </c>
      <c r="E4" s="6">
        <f>Revenue!E$13</f>
        <v/>
      </c>
      <c r="F4" s="6">
        <f>Revenue!F$13</f>
        <v/>
      </c>
      <c r="G4" s="6">
        <f>Revenue!G$13</f>
        <v/>
      </c>
      <c r="H4" s="6">
        <f>Revenue!H$13</f>
        <v/>
      </c>
      <c r="I4" s="6">
        <f>Revenue!I$13</f>
        <v/>
      </c>
      <c r="J4" s="6">
        <f>Revenue!J$13</f>
        <v/>
      </c>
      <c r="K4" s="6">
        <f>Revenue!K$13</f>
        <v/>
      </c>
    </row>
    <row r="5">
      <c r="A5" s="3" t="inlineStr">
        <is>
          <t>Revenue Growth YoY</t>
        </is>
      </c>
      <c r="B5" s="22" t="inlineStr">
        <is>
          <t>N/A</t>
        </is>
      </c>
      <c r="C5" s="11">
        <f>(C4-B4)/B4</f>
        <v/>
      </c>
      <c r="D5" s="11">
        <f>(D4-C4)/C4</f>
        <v/>
      </c>
      <c r="E5" s="11">
        <f>(E4-D4)/D4</f>
        <v/>
      </c>
      <c r="F5" s="11">
        <f>(F4-E4)/E4</f>
        <v/>
      </c>
      <c r="G5" s="11">
        <f>(G4-F4)/F4</f>
        <v/>
      </c>
      <c r="H5" s="11">
        <f>(H4-G4)/G4</f>
        <v/>
      </c>
      <c r="I5" s="11">
        <f>(I4-H4)/H4</f>
        <v/>
      </c>
      <c r="J5" s="11">
        <f>(J4-I4)/I4</f>
        <v/>
      </c>
      <c r="K5" s="11">
        <f>(K4-J4)/J4</f>
        <v/>
      </c>
    </row>
    <row r="6">
      <c r="A6" s="3" t="inlineStr">
        <is>
          <t>Gross Margin</t>
        </is>
      </c>
      <c r="B6" s="11">
        <f>'P&amp;L'!B$7</f>
        <v/>
      </c>
      <c r="C6" s="11">
        <f>'P&amp;L'!C$7</f>
        <v/>
      </c>
      <c r="D6" s="11">
        <f>'P&amp;L'!D$7</f>
        <v/>
      </c>
      <c r="E6" s="11">
        <f>'P&amp;L'!E$7</f>
        <v/>
      </c>
      <c r="F6" s="11">
        <f>'P&amp;L'!F$7</f>
        <v/>
      </c>
      <c r="G6" s="11">
        <f>'P&amp;L'!G$7</f>
        <v/>
      </c>
      <c r="H6" s="11">
        <f>'P&amp;L'!H$7</f>
        <v/>
      </c>
      <c r="I6" s="11">
        <f>'P&amp;L'!I$7</f>
        <v/>
      </c>
      <c r="J6" s="11">
        <f>'P&amp;L'!J$7</f>
        <v/>
      </c>
      <c r="K6" s="11">
        <f>'P&amp;L'!K$7</f>
        <v/>
      </c>
    </row>
    <row r="7">
      <c r="A7" s="3" t="inlineStr">
        <is>
          <t>EBIT Margin</t>
        </is>
      </c>
      <c r="B7" s="11">
        <f>'P&amp;L'!B$11</f>
        <v/>
      </c>
      <c r="C7" s="11">
        <f>'P&amp;L'!C$11</f>
        <v/>
      </c>
      <c r="D7" s="11">
        <f>'P&amp;L'!D$11</f>
        <v/>
      </c>
      <c r="E7" s="11">
        <f>'P&amp;L'!E$11</f>
        <v/>
      </c>
      <c r="F7" s="11">
        <f>'P&amp;L'!F$11</f>
        <v/>
      </c>
      <c r="G7" s="11">
        <f>'P&amp;L'!G$11</f>
        <v/>
      </c>
      <c r="H7" s="11">
        <f>'P&amp;L'!H$11</f>
        <v/>
      </c>
      <c r="I7" s="11">
        <f>'P&amp;L'!I$11</f>
        <v/>
      </c>
      <c r="J7" s="11">
        <f>'P&amp;L'!J$11</f>
        <v/>
      </c>
      <c r="K7" s="11">
        <f>'P&amp;L'!K$11</f>
        <v/>
      </c>
    </row>
    <row r="8">
      <c r="A8" s="3" t="inlineStr">
        <is>
          <t>Net Margin</t>
        </is>
      </c>
      <c r="B8" s="11">
        <f>'P&amp;L'!B$17</f>
        <v/>
      </c>
      <c r="C8" s="11">
        <f>'P&amp;L'!C$17</f>
        <v/>
      </c>
      <c r="D8" s="11">
        <f>'P&amp;L'!D$17</f>
        <v/>
      </c>
      <c r="E8" s="11">
        <f>'P&amp;L'!E$17</f>
        <v/>
      </c>
      <c r="F8" s="11">
        <f>'P&amp;L'!F$17</f>
        <v/>
      </c>
      <c r="G8" s="11">
        <f>'P&amp;L'!G$17</f>
        <v/>
      </c>
      <c r="H8" s="11">
        <f>'P&amp;L'!H$17</f>
        <v/>
      </c>
      <c r="I8" s="11">
        <f>'P&amp;L'!I$17</f>
        <v/>
      </c>
      <c r="J8" s="11">
        <f>'P&amp;L'!J$17</f>
        <v/>
      </c>
      <c r="K8" s="11">
        <f>'P&amp;L'!K$17</f>
        <v/>
      </c>
    </row>
    <row r="9">
      <c r="A9" s="3" t="inlineStr">
        <is>
          <t>EPS</t>
        </is>
      </c>
      <c r="B9" s="12">
        <f>'P&amp;L'!B$19</f>
        <v/>
      </c>
      <c r="C9" s="12">
        <f>'P&amp;L'!C$19</f>
        <v/>
      </c>
      <c r="D9" s="12">
        <f>'P&amp;L'!D$19</f>
        <v/>
      </c>
      <c r="E9" s="12">
        <f>'P&amp;L'!E$19</f>
        <v/>
      </c>
      <c r="F9" s="12">
        <f>'P&amp;L'!F$19</f>
        <v/>
      </c>
      <c r="G9" s="12">
        <f>'P&amp;L'!G$19</f>
        <v/>
      </c>
      <c r="H9" s="12">
        <f>'P&amp;L'!H$19</f>
        <v/>
      </c>
      <c r="I9" s="12">
        <f>'P&amp;L'!I$19</f>
        <v/>
      </c>
      <c r="J9" s="12">
        <f>'P&amp;L'!J$19</f>
        <v/>
      </c>
      <c r="K9" s="12">
        <f>'P&amp;L'!K$19</f>
        <v/>
      </c>
    </row>
    <row r="10">
      <c r="A10" s="3" t="inlineStr">
        <is>
          <t>Free Cash Flow</t>
        </is>
      </c>
      <c r="B10" s="6">
        <f>DCF!B$10</f>
        <v/>
      </c>
      <c r="C10" s="6">
        <f>DCF!C$10</f>
        <v/>
      </c>
      <c r="D10" s="6">
        <f>DCF!D$10</f>
        <v/>
      </c>
      <c r="E10" s="6">
        <f>DCF!E$10</f>
        <v/>
      </c>
      <c r="F10" s="6">
        <f>DCF!F$10</f>
        <v/>
      </c>
      <c r="G10" s="6">
        <f>DCF!G$10</f>
        <v/>
      </c>
      <c r="H10" s="6">
        <f>DCF!H$10</f>
        <v/>
      </c>
      <c r="I10" s="6">
        <f>DCF!I$10</f>
        <v/>
      </c>
      <c r="J10" s="6">
        <f>DCF!J$10</f>
        <v/>
      </c>
      <c r="K10" s="6">
        <f>DCF!K$10</f>
        <v/>
      </c>
    </row>
    <row r="11">
      <c r="A11" s="3" t="inlineStr">
        <is>
          <t>Cash Balance</t>
        </is>
      </c>
      <c r="B11" s="6">
        <f>'Balance Sheet'!B$5</f>
        <v/>
      </c>
      <c r="C11" s="6">
        <f>'Balance Sheet'!C$5</f>
        <v/>
      </c>
      <c r="D11" s="6">
        <f>'Balance Sheet'!D$5</f>
        <v/>
      </c>
      <c r="E11" s="6">
        <f>'Balance Sheet'!E$5</f>
        <v/>
      </c>
      <c r="F11" s="6">
        <f>'Balance Sheet'!F$5</f>
        <v/>
      </c>
      <c r="G11" s="6">
        <f>'Balance Sheet'!G$5</f>
        <v/>
      </c>
      <c r="H11" s="6">
        <f>'Balance Sheet'!H$5</f>
        <v/>
      </c>
      <c r="I11" s="6">
        <f>'Balance Sheet'!I$5</f>
        <v/>
      </c>
      <c r="J11" s="6">
        <f>'Balance Sheet'!J$5</f>
        <v/>
      </c>
      <c r="K11" s="6">
        <f>'Balance Sheet'!K$5</f>
        <v/>
      </c>
    </row>
    <row r="12">
      <c r="A12" s="3" t="inlineStr">
        <is>
          <t>Total Debt</t>
        </is>
      </c>
      <c r="B12" s="6">
        <f>'Balance Sheet'!B$16</f>
        <v/>
      </c>
      <c r="C12" s="6">
        <f>'Balance Sheet'!C$16</f>
        <v/>
      </c>
      <c r="D12" s="6">
        <f>'Balance Sheet'!D$16</f>
        <v/>
      </c>
      <c r="E12" s="6">
        <f>'Balance Sheet'!E$16</f>
        <v/>
      </c>
      <c r="F12" s="6">
        <f>'Balance Sheet'!F$16</f>
        <v/>
      </c>
      <c r="G12" s="6">
        <f>'Balance Sheet'!G$16</f>
        <v/>
      </c>
      <c r="H12" s="6">
        <f>'Balance Sheet'!H$16</f>
        <v/>
      </c>
      <c r="I12" s="6">
        <f>'Balance Sheet'!I$16</f>
        <v/>
      </c>
      <c r="J12" s="6">
        <f>'Balance Sheet'!J$16</f>
        <v/>
      </c>
      <c r="K12" s="6">
        <f>'Balance Sheet'!K$16</f>
        <v/>
      </c>
    </row>
    <row r="13">
      <c r="A13" s="3" t="inlineStr">
        <is>
          <t>Debt/Equity</t>
        </is>
      </c>
      <c r="B13" s="23">
        <f>'Balance Sheet'!B$16/'Balance Sheet'!B$19</f>
        <v/>
      </c>
      <c r="C13" s="23">
        <f>'Balance Sheet'!C$16/'Balance Sheet'!C$19</f>
        <v/>
      </c>
      <c r="D13" s="23">
        <f>'Balance Sheet'!D$16/'Balance Sheet'!D$19</f>
        <v/>
      </c>
      <c r="E13" s="23">
        <f>'Balance Sheet'!E$16/'Balance Sheet'!E$19</f>
        <v/>
      </c>
      <c r="F13" s="23">
        <f>'Balance Sheet'!F$16/'Balance Sheet'!F$19</f>
        <v/>
      </c>
      <c r="G13" s="23">
        <f>'Balance Sheet'!G$16/'Balance Sheet'!G$19</f>
        <v/>
      </c>
      <c r="H13" s="23">
        <f>'Balance Sheet'!H$16/'Balance Sheet'!H$19</f>
        <v/>
      </c>
      <c r="I13" s="23">
        <f>'Balance Sheet'!I$16/'Balance Sheet'!I$19</f>
        <v/>
      </c>
      <c r="J13" s="23">
        <f>'Balance Sheet'!J$16/'Balance Sheet'!J$19</f>
        <v/>
      </c>
      <c r="K13" s="23">
        <f>'Balance Sheet'!K$16/'Balance Sheet'!K$19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2026-03-11T18:45:50Z</dcterms:created>
  <dcterms:modified xsi:type="dcterms:W3CDTF">2026-03-11T18:45:50Z</dcterms:modified>
</cp:coreProperties>
</file>